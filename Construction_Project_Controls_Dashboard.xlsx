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HAS RAVI\Downloads\PORTFOLIO\files\"/>
    </mc:Choice>
  </mc:AlternateContent>
  <xr:revisionPtr revIDLastSave="0" documentId="13_ncr:1_{EC7D6679-A358-4579-BA60-8426F41C2D36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Dashboard" sheetId="1" r:id="rId1"/>
    <sheet name="Cost Tracker" sheetId="2" r:id="rId2"/>
    <sheet name="Schedule" sheetId="3" r:id="rId3"/>
    <sheet name="RFI Log" sheetId="4" r:id="rId4"/>
    <sheet name="Submittal Register" sheetId="5" r:id="rId5"/>
    <sheet name="S-Curve &amp; Chart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6" l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5" i="6"/>
  <c r="F4" i="6"/>
  <c r="F5" i="6" s="1"/>
  <c r="F6" i="6" s="1"/>
  <c r="F7" i="6" s="1"/>
  <c r="F8" i="6" s="1"/>
  <c r="F9" i="6" s="1"/>
  <c r="F10" i="6" s="1"/>
  <c r="F11" i="6" s="1"/>
  <c r="E4" i="6"/>
  <c r="F12" i="1"/>
  <c r="I13" i="4"/>
  <c r="I12" i="4"/>
  <c r="I11" i="4"/>
  <c r="I10" i="4"/>
  <c r="I9" i="4"/>
  <c r="I8" i="4"/>
  <c r="I7" i="4"/>
  <c r="I6" i="4"/>
  <c r="I5" i="4"/>
  <c r="I4" i="4"/>
  <c r="I24" i="3"/>
  <c r="H24" i="3"/>
  <c r="N23" i="3"/>
  <c r="M23" i="3"/>
  <c r="K23" i="3"/>
  <c r="J23" i="3"/>
  <c r="N22" i="3"/>
  <c r="M22" i="3"/>
  <c r="K22" i="3"/>
  <c r="J22" i="3"/>
  <c r="N21" i="3"/>
  <c r="M21" i="3"/>
  <c r="K21" i="3"/>
  <c r="J21" i="3"/>
  <c r="N20" i="3"/>
  <c r="M20" i="3"/>
  <c r="K20" i="3"/>
  <c r="J20" i="3"/>
  <c r="N19" i="3"/>
  <c r="M19" i="3"/>
  <c r="K19" i="3"/>
  <c r="J19" i="3"/>
  <c r="N18" i="3"/>
  <c r="M18" i="3"/>
  <c r="K18" i="3"/>
  <c r="J18" i="3"/>
  <c r="N17" i="3"/>
  <c r="M17" i="3"/>
  <c r="K17" i="3"/>
  <c r="J17" i="3"/>
  <c r="N16" i="3"/>
  <c r="M16" i="3"/>
  <c r="K16" i="3"/>
  <c r="J16" i="3"/>
  <c r="N15" i="3"/>
  <c r="M15" i="3"/>
  <c r="K15" i="3"/>
  <c r="J15" i="3"/>
  <c r="N14" i="3"/>
  <c r="M14" i="3"/>
  <c r="K14" i="3"/>
  <c r="J14" i="3"/>
  <c r="N13" i="3"/>
  <c r="M13" i="3"/>
  <c r="K13" i="3"/>
  <c r="J13" i="3"/>
  <c r="N12" i="3"/>
  <c r="M12" i="3"/>
  <c r="K12" i="3"/>
  <c r="J12" i="3"/>
  <c r="N11" i="3"/>
  <c r="M11" i="3"/>
  <c r="K11" i="3"/>
  <c r="J11" i="3"/>
  <c r="N10" i="3"/>
  <c r="M10" i="3"/>
  <c r="K10" i="3"/>
  <c r="J10" i="3"/>
  <c r="N9" i="3"/>
  <c r="M9" i="3"/>
  <c r="K9" i="3"/>
  <c r="J9" i="3"/>
  <c r="N8" i="3"/>
  <c r="M8" i="3"/>
  <c r="K8" i="3"/>
  <c r="J8" i="3"/>
  <c r="N7" i="3"/>
  <c r="M7" i="3"/>
  <c r="K7" i="3"/>
  <c r="J7" i="3"/>
  <c r="N6" i="3"/>
  <c r="M6" i="3"/>
  <c r="K6" i="3"/>
  <c r="J6" i="3"/>
  <c r="N5" i="3"/>
  <c r="N24" i="3" s="1"/>
  <c r="M5" i="3"/>
  <c r="K5" i="3"/>
  <c r="J5" i="3"/>
  <c r="N4" i="3"/>
  <c r="M4" i="3"/>
  <c r="K4" i="3"/>
  <c r="J4" i="3"/>
  <c r="G16" i="2"/>
  <c r="F16" i="2"/>
  <c r="D16" i="2"/>
  <c r="C16" i="2"/>
  <c r="M15" i="2"/>
  <c r="P15" i="2" s="1"/>
  <c r="K15" i="2"/>
  <c r="E15" i="2"/>
  <c r="J15" i="2" s="1"/>
  <c r="E14" i="2"/>
  <c r="E13" i="2"/>
  <c r="J13" i="2" s="1"/>
  <c r="M12" i="2"/>
  <c r="N12" i="2" s="1"/>
  <c r="H12" i="2" s="1"/>
  <c r="I12" i="2" s="1"/>
  <c r="E12" i="2"/>
  <c r="K12" i="2" s="1"/>
  <c r="M11" i="2"/>
  <c r="P11" i="2" s="1"/>
  <c r="K11" i="2"/>
  <c r="J11" i="2"/>
  <c r="E11" i="2"/>
  <c r="E10" i="2"/>
  <c r="E9" i="2"/>
  <c r="J9" i="2" s="1"/>
  <c r="M8" i="2"/>
  <c r="P8" i="2" s="1"/>
  <c r="J8" i="2"/>
  <c r="E8" i="2"/>
  <c r="K8" i="2" s="1"/>
  <c r="M7" i="2"/>
  <c r="P7" i="2" s="1"/>
  <c r="K7" i="2"/>
  <c r="J7" i="2"/>
  <c r="E7" i="2"/>
  <c r="E6" i="2"/>
  <c r="E5" i="2"/>
  <c r="J5" i="2" s="1"/>
  <c r="M4" i="2"/>
  <c r="J4" i="2"/>
  <c r="E4" i="2"/>
  <c r="K4" i="2" s="1"/>
  <c r="C28" i="1"/>
  <c r="D27" i="1"/>
  <c r="F27" i="1" s="1"/>
  <c r="D26" i="1"/>
  <c r="F26" i="1" s="1"/>
  <c r="D25" i="1"/>
  <c r="E25" i="1" s="1"/>
  <c r="D24" i="1"/>
  <c r="F24" i="1" s="1"/>
  <c r="D23" i="1"/>
  <c r="D22" i="1"/>
  <c r="D21" i="1"/>
  <c r="D20" i="1"/>
  <c r="D19" i="1"/>
  <c r="D18" i="1"/>
  <c r="D17" i="1"/>
  <c r="D16" i="1"/>
  <c r="F11" i="1"/>
  <c r="E11" i="1"/>
  <c r="C11" i="1"/>
  <c r="F3" i="1"/>
  <c r="J12" i="2" l="1"/>
  <c r="K5" i="2"/>
  <c r="K9" i="2"/>
  <c r="K13" i="2"/>
  <c r="M5" i="2"/>
  <c r="M9" i="2"/>
  <c r="M13" i="2"/>
  <c r="D28" i="1"/>
  <c r="F28" i="1" s="1"/>
  <c r="F25" i="1"/>
  <c r="C9" i="1"/>
  <c r="E9" i="1"/>
  <c r="F9" i="1"/>
  <c r="E27" i="1"/>
  <c r="N8" i="2"/>
  <c r="H8" i="2" s="1"/>
  <c r="I8" i="2" s="1"/>
  <c r="E16" i="2"/>
  <c r="K16" i="2" s="1"/>
  <c r="E26" i="1"/>
  <c r="N5" i="2"/>
  <c r="H5" i="2" s="1"/>
  <c r="N9" i="2"/>
  <c r="H9" i="2" s="1"/>
  <c r="N13" i="2"/>
  <c r="H13" i="2" s="1"/>
  <c r="O4" i="2"/>
  <c r="F8" i="1" s="1"/>
  <c r="O8" i="2"/>
  <c r="O12" i="2"/>
  <c r="N4" i="2"/>
  <c r="P4" i="2"/>
  <c r="P12" i="2"/>
  <c r="C12" i="1"/>
  <c r="E24" i="1"/>
  <c r="J6" i="2"/>
  <c r="N7" i="2"/>
  <c r="H7" i="2" s="1"/>
  <c r="I7" i="2" s="1"/>
  <c r="J10" i="2"/>
  <c r="N11" i="2"/>
  <c r="H11" i="2" s="1"/>
  <c r="I11" i="2" s="1"/>
  <c r="J14" i="2"/>
  <c r="N15" i="2"/>
  <c r="H15" i="2" s="1"/>
  <c r="I15" i="2" s="1"/>
  <c r="K14" i="2"/>
  <c r="E12" i="1"/>
  <c r="K6" i="2"/>
  <c r="O7" i="2"/>
  <c r="K10" i="2"/>
  <c r="O11" i="2"/>
  <c r="O15" i="2"/>
  <c r="I5" i="2"/>
  <c r="M6" i="2"/>
  <c r="I9" i="2"/>
  <c r="M10" i="2"/>
  <c r="I13" i="2"/>
  <c r="M14" i="2"/>
  <c r="O13" i="2" l="1"/>
  <c r="P13" i="2"/>
  <c r="O9" i="2"/>
  <c r="P9" i="2"/>
  <c r="J16" i="2"/>
  <c r="O5" i="2"/>
  <c r="P5" i="2"/>
  <c r="E28" i="1"/>
  <c r="E10" i="1"/>
  <c r="C10" i="1"/>
  <c r="H4" i="2"/>
  <c r="N14" i="2"/>
  <c r="H14" i="2" s="1"/>
  <c r="I14" i="2" s="1"/>
  <c r="P14" i="2"/>
  <c r="O14" i="2"/>
  <c r="N10" i="2"/>
  <c r="H10" i="2" s="1"/>
  <c r="I10" i="2" s="1"/>
  <c r="P10" i="2"/>
  <c r="P16" i="2" s="1"/>
  <c r="O10" i="2"/>
  <c r="N6" i="2"/>
  <c r="H6" i="2" s="1"/>
  <c r="I6" i="2" s="1"/>
  <c r="P6" i="2"/>
  <c r="O6" i="2"/>
  <c r="M16" i="2"/>
  <c r="O16" i="2" s="1"/>
  <c r="I4" i="2" l="1"/>
  <c r="I16" i="2" s="1"/>
  <c r="H16" i="2"/>
  <c r="N16" i="2"/>
  <c r="E8" i="1"/>
  <c r="C8" i="1"/>
  <c r="F10" i="1"/>
</calcChain>
</file>

<file path=xl/sharedStrings.xml><?xml version="1.0" encoding="utf-8"?>
<sst xmlns="http://schemas.openxmlformats.org/spreadsheetml/2006/main" count="488" uniqueCount="343">
  <si>
    <t>CONSTRUCTION PROJECT CONTROLS DASHBOARD</t>
  </si>
  <si>
    <t>Project:</t>
  </si>
  <si>
    <t>Riverside Mixed-Use | Arlington, TX</t>
  </si>
  <si>
    <t>Contract Value:</t>
  </si>
  <si>
    <t>$2,400,000</t>
  </si>
  <si>
    <t>Owner:</t>
  </si>
  <si>
    <t>Riverside Development LLC</t>
  </si>
  <si>
    <t>Report Date:</t>
  </si>
  <si>
    <t>GC:</t>
  </si>
  <si>
    <t>Suhas Ravi Construction Management</t>
  </si>
  <si>
    <t>Project Phase:</t>
  </si>
  <si>
    <t>Construction</t>
  </si>
  <si>
    <t>KEY PERFORMANCE INDICATORS</t>
  </si>
  <si>
    <t>KPI</t>
  </si>
  <si>
    <t>Current</t>
  </si>
  <si>
    <t>Target</t>
  </si>
  <si>
    <t>Variance</t>
  </si>
  <si>
    <t>Status</t>
  </si>
  <si>
    <t>Cost Performance Index (CPI)</t>
  </si>
  <si>
    <t>≥ 1.00</t>
  </si>
  <si>
    <t>Schedule Performance Index (SPI)</t>
  </si>
  <si>
    <t>Budget Utilization (%)</t>
  </si>
  <si>
    <t>≤ 85%</t>
  </si>
  <si>
    <t>Open RFIs</t>
  </si>
  <si>
    <t>&lt; 5</t>
  </si>
  <si>
    <t>Submittals Overdue</t>
  </si>
  <si>
    <t>0</t>
  </si>
  <si>
    <t>COST SUMMARY BY CSI DIVISION</t>
  </si>
  <si>
    <t>SCHEDULE SUMMARY</t>
  </si>
  <si>
    <t>CSI Division</t>
  </si>
  <si>
    <t>Budget ($)</t>
  </si>
  <si>
    <t>Actual ($)</t>
  </si>
  <si>
    <t>Phase</t>
  </si>
  <si>
    <t>Planned %</t>
  </si>
  <si>
    <t>Actual %</t>
  </si>
  <si>
    <t>01 - General Requirements</t>
  </si>
  <si>
    <t>Site Preparation</t>
  </si>
  <si>
    <t>02 - Existing Conditions</t>
  </si>
  <si>
    <t>Foundation</t>
  </si>
  <si>
    <t>03 - Concrete</t>
  </si>
  <si>
    <t>Structural Frame</t>
  </si>
  <si>
    <t>04 - Masonry</t>
  </si>
  <si>
    <t>MEP Rough-In</t>
  </si>
  <si>
    <t>05 - Metals</t>
  </si>
  <si>
    <t>Exterior Envelope</t>
  </si>
  <si>
    <t>06 - Wood &amp; Plastics</t>
  </si>
  <si>
    <t>Interior Rough-In</t>
  </si>
  <si>
    <t>07 - Thermal &amp; Moisture</t>
  </si>
  <si>
    <t>Finishes</t>
  </si>
  <si>
    <t>08 - Openings</t>
  </si>
  <si>
    <t>Punch List/Closeout</t>
  </si>
  <si>
    <t>09 - Finishes</t>
  </si>
  <si>
    <t>10-14 - Specialties/Equip</t>
  </si>
  <si>
    <t>21-23 - MEP Systems</t>
  </si>
  <si>
    <t>31-33 - Site Work</t>
  </si>
  <si>
    <t>TOTAL</t>
  </si>
  <si>
    <t>Dashboard auto-updates when data is entered in Cost Tracker, Schedule, RFI Log, and Submittal Register tabs.</t>
  </si>
  <si>
    <t>COST TRACKER — RIVERSIDE MIXED-USE PROJECT</t>
  </si>
  <si>
    <t>Original Budget ($)</t>
  </si>
  <si>
    <t>Approved Change Orders ($)</t>
  </si>
  <si>
    <t>Revised Budget ($)</t>
  </si>
  <si>
    <t>Committed Cost ($)</t>
  </si>
  <si>
    <t>Actual Cost to Date ($)</t>
  </si>
  <si>
    <t>Estimated Cost at Completion ($)</t>
  </si>
  <si>
    <t>Budget Remaining ($)</t>
  </si>
  <si>
    <t>Cost Variance ($)</t>
  </si>
  <si>
    <t>% Budget Spent</t>
  </si>
  <si>
    <t>% Work Complete</t>
  </si>
  <si>
    <t>Earned Value ($)</t>
  </si>
  <si>
    <t>Cost Variance (EV)</t>
  </si>
  <si>
    <t>CPI</t>
  </si>
  <si>
    <t>SPI</t>
  </si>
  <si>
    <t>PROJECT TOTAL</t>
  </si>
  <si>
    <t>COLOR LEGEND:</t>
  </si>
  <si>
    <t>Blue = Input cell (editable)</t>
  </si>
  <si>
    <t>Green CPI/SPI = Performing well (≥ 1.00)</t>
  </si>
  <si>
    <t>Red CPI/SPI = At risk (&lt; 1.00)</t>
  </si>
  <si>
    <t>SCHEDULE TRACKER — RIVERSIDE MIXED-USE PROJECT</t>
  </si>
  <si>
    <t>Work Package</t>
  </si>
  <si>
    <t>Planned Start</t>
  </si>
  <si>
    <t>Planned Finish</t>
  </si>
  <si>
    <t>Actual Start</t>
  </si>
  <si>
    <t>Actual Finish</t>
  </si>
  <si>
    <t>Duration (days)</t>
  </si>
  <si>
    <t>Planned % Complete</t>
  </si>
  <si>
    <t>Actual % Complete</t>
  </si>
  <si>
    <t>Schedule Variance (days)</t>
  </si>
  <si>
    <t>Responsible Party</t>
  </si>
  <si>
    <t>Notes</t>
  </si>
  <si>
    <t>Float (days)</t>
  </si>
  <si>
    <t>Site Mobilization &amp; Prep</t>
  </si>
  <si>
    <t>1/6/2025</t>
  </si>
  <si>
    <t>1/31/2025</t>
  </si>
  <si>
    <t>1/29/2025</t>
  </si>
  <si>
    <t>Turner CM</t>
  </si>
  <si>
    <t>Demolition &amp; Excavation</t>
  </si>
  <si>
    <t>2/3/2025</t>
  </si>
  <si>
    <t>2/28/2025</t>
  </si>
  <si>
    <t>3/3/2025</t>
  </si>
  <si>
    <t>Apex Demo</t>
  </si>
  <si>
    <t>Foundation — Footings &amp; Grade</t>
  </si>
  <si>
    <t>4/4/2025</t>
  </si>
  <si>
    <t>3/5/2025</t>
  </si>
  <si>
    <t>4/9/2025</t>
  </si>
  <si>
    <t>Concrete Plus</t>
  </si>
  <si>
    <t>Structural Steel Frame</t>
  </si>
  <si>
    <t>4/7/2025</t>
  </si>
  <si>
    <t>5/16/2025</t>
  </si>
  <si>
    <t>5/19/2025</t>
  </si>
  <si>
    <t>SteelCo</t>
  </si>
  <si>
    <t>Metal Deck &amp; Concrete Slab</t>
  </si>
  <si>
    <t>6/13/2025</t>
  </si>
  <si>
    <t>5/21/2025</t>
  </si>
  <si>
    <t>Exterior Masonry &amp; Envelope</t>
  </si>
  <si>
    <t>6/16/2025</t>
  </si>
  <si>
    <t>8/8/2025</t>
  </si>
  <si>
    <t>6/18/2025</t>
  </si>
  <si>
    <t>MasonryPro</t>
  </si>
  <si>
    <t>Roofing System</t>
  </si>
  <si>
    <t>7/7/2025</t>
  </si>
  <si>
    <t>8/1/2025</t>
  </si>
  <si>
    <t>7/10/2025</t>
  </si>
  <si>
    <t>RoofRight</t>
  </si>
  <si>
    <t>Storefront &amp; Glazing</t>
  </si>
  <si>
    <t>7/28/2025</t>
  </si>
  <si>
    <t>8/22/2025</t>
  </si>
  <si>
    <t>7/30/2025</t>
  </si>
  <si>
    <t>GlassTech</t>
  </si>
  <si>
    <t>MEP Rough-In — Electrical</t>
  </si>
  <si>
    <t>5/12/2025</t>
  </si>
  <si>
    <t>5/14/2025</t>
  </si>
  <si>
    <t>ElecCo</t>
  </si>
  <si>
    <t>MEP Rough-In — Plumbing</t>
  </si>
  <si>
    <t>PlumbRight</t>
  </si>
  <si>
    <t>MEP Rough-In — Mechanical</t>
  </si>
  <si>
    <t>5/26/2025</t>
  </si>
  <si>
    <t>9/5/2025</t>
  </si>
  <si>
    <t>5/28/2025</t>
  </si>
  <si>
    <t>MechSystems</t>
  </si>
  <si>
    <t>Drywall &amp; Interior Framing</t>
  </si>
  <si>
    <t>8/11/2025</t>
  </si>
  <si>
    <t>9/26/2025</t>
  </si>
  <si>
    <t>8/14/2025</t>
  </si>
  <si>
    <t>FramePro</t>
  </si>
  <si>
    <t>Painting &amp; Wall Finishes</t>
  </si>
  <si>
    <t>9/15/2025</t>
  </si>
  <si>
    <t>10/17/2025</t>
  </si>
  <si>
    <t>PaintCo</t>
  </si>
  <si>
    <t>Flooring</t>
  </si>
  <si>
    <t>9/22/2025</t>
  </si>
  <si>
    <t>10/24/2025</t>
  </si>
  <si>
    <t>FloorCo</t>
  </si>
  <si>
    <t>Millwork &amp; Casework</t>
  </si>
  <si>
    <t>9/29/2025</t>
  </si>
  <si>
    <t>MillCo</t>
  </si>
  <si>
    <t>FF&amp;E Installation</t>
  </si>
  <si>
    <t>10/13/2025</t>
  </si>
  <si>
    <t>11/7/2025</t>
  </si>
  <si>
    <t>Owner</t>
  </si>
  <si>
    <t>Site Utilities &amp; Paving</t>
  </si>
  <si>
    <t>8/4/2025</t>
  </si>
  <si>
    <t>8/6/2025</t>
  </si>
  <si>
    <t>CivilCo</t>
  </si>
  <si>
    <t>Landscaping</t>
  </si>
  <si>
    <t>10/6/2025</t>
  </si>
  <si>
    <t>10/31/2025</t>
  </si>
  <si>
    <t>GreenScape</t>
  </si>
  <si>
    <t>Final Inspections &amp; Punch List</t>
  </si>
  <si>
    <t>11/3/2025</t>
  </si>
  <si>
    <t>11/21/2025</t>
  </si>
  <si>
    <t>Certificate of Occupancy</t>
  </si>
  <si>
    <t>11/24/2025</t>
  </si>
  <si>
    <t>11/28/2025</t>
  </si>
  <si>
    <t>PROJECT OVERALL</t>
  </si>
  <si>
    <t>RFI LOG — RIVERSIDE MIXED-USE PROJECT</t>
  </si>
  <si>
    <t>RFI #</t>
  </si>
  <si>
    <t>Subject</t>
  </si>
  <si>
    <t>Submitted By</t>
  </si>
  <si>
    <t>Submitted To</t>
  </si>
  <si>
    <t>Date Submitted</t>
  </si>
  <si>
    <t>Date Required</t>
  </si>
  <si>
    <t>Date Answered</t>
  </si>
  <si>
    <t>Days Open</t>
  </si>
  <si>
    <t>Priority</t>
  </si>
  <si>
    <t>Cost Impact ($)</t>
  </si>
  <si>
    <t>RFI-001</t>
  </si>
  <si>
    <t>Footing depth conflict — grid line C vs structural dwg S2.1</t>
  </si>
  <si>
    <t>Suhas Ravi</t>
  </si>
  <si>
    <t>Smith Structural Eng.</t>
  </si>
  <si>
    <t>1/22/2025</t>
  </si>
  <si>
    <t>1/27/2025</t>
  </si>
  <si>
    <t>High</t>
  </si>
  <si>
    <t>Closed</t>
  </si>
  <si>
    <t>Resolved — depth increased 6 in.</t>
  </si>
  <si>
    <t>RFI-002</t>
  </si>
  <si>
    <t>Slab edge condition at north entry — see arch A3.4</t>
  </si>
  <si>
    <t>2/14/2025</t>
  </si>
  <si>
    <t>2/21/2025</t>
  </si>
  <si>
    <t>2/20/2025</t>
  </si>
  <si>
    <t>Med</t>
  </si>
  <si>
    <t>Confirmed as drawn</t>
  </si>
  <si>
    <t>RFI-003</t>
  </si>
  <si>
    <t>Column base plate anchor bolt pattern — grids B/3</t>
  </si>
  <si>
    <t>4/11/2025</t>
  </si>
  <si>
    <t>4/18/2025</t>
  </si>
  <si>
    <t>4/16/2025</t>
  </si>
  <si>
    <t>Added 2 anchors per RFI response</t>
  </si>
  <si>
    <t>RFI-004</t>
  </si>
  <si>
    <t>Exterior wall R-value — conflict between specs and energy calcs</t>
  </si>
  <si>
    <t>EnviroConsult</t>
  </si>
  <si>
    <t>6/20/2025</t>
  </si>
  <si>
    <t>6/27/2025</t>
  </si>
  <si>
    <t>6/25/2025</t>
  </si>
  <si>
    <t>Spec takes precedence</t>
  </si>
  <si>
    <t>RFI-005</t>
  </si>
  <si>
    <t>Roof drain size conflict — plbg P2.1 vs mech M3.2</t>
  </si>
  <si>
    <t>7/8/2025</t>
  </si>
  <si>
    <t>7/15/2025</t>
  </si>
  <si>
    <t>7/14/2025</t>
  </si>
  <si>
    <t>Mechanical governs — 4 in. drain</t>
  </si>
  <si>
    <t>RFI-006</t>
  </si>
  <si>
    <t>Storefront sill height at lobby — arch A5.2 dim unclear</t>
  </si>
  <si>
    <t>Design Arch LLC</t>
  </si>
  <si>
    <t>7/31/2025</t>
  </si>
  <si>
    <t>8/7/2025</t>
  </si>
  <si>
    <t>Open</t>
  </si>
  <si>
    <t>Awaiting architect response</t>
  </si>
  <si>
    <t>RFI-007</t>
  </si>
  <si>
    <t>Electrical panel location conflict with plumbing chase</t>
  </si>
  <si>
    <t>MEP Coordinator</t>
  </si>
  <si>
    <t>OAC meeting 8/5 — decision pending</t>
  </si>
  <si>
    <t>RFI-008</t>
  </si>
  <si>
    <t>Ceiling height at corridor 2B — conflicts between arch &amp; struct</t>
  </si>
  <si>
    <t>On hold pending BIM coordination</t>
  </si>
  <si>
    <t>RFI-009</t>
  </si>
  <si>
    <t>Paint color spec — owner change request, lobby accent wall</t>
  </si>
  <si>
    <t>Owner Rep</t>
  </si>
  <si>
    <t>8/5/2025</t>
  </si>
  <si>
    <t>8/12/2025</t>
  </si>
  <si>
    <t>Low</t>
  </si>
  <si>
    <t>Owner to confirm selection</t>
  </si>
  <si>
    <t>RFI-010</t>
  </si>
  <si>
    <t>Parking lot light pole base detail missing from civil drawings</t>
  </si>
  <si>
    <t>8/13/2025</t>
  </si>
  <si>
    <t>Issued for information only</t>
  </si>
  <si>
    <t>SUBMITTAL REGISTER — RIVERSIDE MIXED-USE PROJECT</t>
  </si>
  <si>
    <t>Sub #</t>
  </si>
  <si>
    <t>Description</t>
  </si>
  <si>
    <t>Date Returned</t>
  </si>
  <si>
    <t>Return Code</t>
  </si>
  <si>
    <t>Resubmittal Required?</t>
  </si>
  <si>
    <t>S-001</t>
  </si>
  <si>
    <t>Concrete Mix Design — 4000 psi slab</t>
  </si>
  <si>
    <t>2/1/2025</t>
  </si>
  <si>
    <t>Approved</t>
  </si>
  <si>
    <t>A</t>
  </si>
  <si>
    <t>No</t>
  </si>
  <si>
    <t>Approved as submitted</t>
  </si>
  <si>
    <t>S-002</t>
  </si>
  <si>
    <t>Rebar Shop Drawings — foundations</t>
  </si>
  <si>
    <t>2/4/2025</t>
  </si>
  <si>
    <t>Minor note only</t>
  </si>
  <si>
    <t>S-003</t>
  </si>
  <si>
    <t>Structural Steel Shop Drawings — frame</t>
  </si>
  <si>
    <t>3/10/2025</t>
  </si>
  <si>
    <t>3/24/2025</t>
  </si>
  <si>
    <t>3/21/2025</t>
  </si>
  <si>
    <t>S-004</t>
  </si>
  <si>
    <t>Metal Deck Shop Drawings</t>
  </si>
  <si>
    <t>3/17/2025</t>
  </si>
  <si>
    <t>3/31/2025</t>
  </si>
  <si>
    <t>3/28/2025</t>
  </si>
  <si>
    <t>Approved w/ Comments</t>
  </si>
  <si>
    <t>B</t>
  </si>
  <si>
    <t>Weld pattern revised</t>
  </si>
  <si>
    <t>S-005</t>
  </si>
  <si>
    <t>Exterior Masonry — product data &amp; samples</t>
  </si>
  <si>
    <t>5/5/2025</t>
  </si>
  <si>
    <t>Color sample approved</t>
  </si>
  <si>
    <t>S-006</t>
  </si>
  <si>
    <t>Roofing System — TPO product data</t>
  </si>
  <si>
    <t>6/2/2025</t>
  </si>
  <si>
    <t>6/3/2025</t>
  </si>
  <si>
    <t>Thickness confirmed</t>
  </si>
  <si>
    <t>S-007</t>
  </si>
  <si>
    <t>Storefront System — shop drawings &amp; data</t>
  </si>
  <si>
    <t>6/23/2025</t>
  </si>
  <si>
    <t>7/9/2025</t>
  </si>
  <si>
    <t>Revise &amp; Resubmit</t>
  </si>
  <si>
    <t>C</t>
  </si>
  <si>
    <t>Yes</t>
  </si>
  <si>
    <t>Anchor spacing non-compliant</t>
  </si>
  <si>
    <t>S-008</t>
  </si>
  <si>
    <t>Storefront System — Resubmittal</t>
  </si>
  <si>
    <t>7/21/2025</t>
  </si>
  <si>
    <t>Resubmittal approved</t>
  </si>
  <si>
    <t>S-009</t>
  </si>
  <si>
    <t>Electrical Switchgear — product data</t>
  </si>
  <si>
    <t>6/9/2025</t>
  </si>
  <si>
    <t>Long lead item confirmed</t>
  </si>
  <si>
    <t>S-010</t>
  </si>
  <si>
    <t>HVAC Equipment Schedule — AHU data</t>
  </si>
  <si>
    <t>6/30/2025</t>
  </si>
  <si>
    <t>Filter spec upgraded</t>
  </si>
  <si>
    <t>S-011</t>
  </si>
  <si>
    <t>Plumbing Fixtures — product data &amp; samples</t>
  </si>
  <si>
    <t>7/5/2025</t>
  </si>
  <si>
    <t>WaterSense fixtures confirmed</t>
  </si>
  <si>
    <t>S-012</t>
  </si>
  <si>
    <t>Interior Doors &amp; Hardware Schedule</t>
  </si>
  <si>
    <t>Pending</t>
  </si>
  <si>
    <t>—</t>
  </si>
  <si>
    <t>Submitted; under review</t>
  </si>
  <si>
    <t>S-013</t>
  </si>
  <si>
    <t>Flooring — tile &amp; carpet samples</t>
  </si>
  <si>
    <t>S-014</t>
  </si>
  <si>
    <t>Paint Color Schedule — full palette</t>
  </si>
  <si>
    <t>8/18/2025</t>
  </si>
  <si>
    <t>Pending owner confirmation</t>
  </si>
  <si>
    <t>S-015</t>
  </si>
  <si>
    <t>Site Lighting — pole &amp; fixture data</t>
  </si>
  <si>
    <t>Overdue</t>
  </si>
  <si>
    <t>Required by 8/18 — no submission</t>
  </si>
  <si>
    <t>S-CURVE — PLANNED VS ACTUAL COST CUMULATIVE</t>
  </si>
  <si>
    <t>Period</t>
  </si>
  <si>
    <t>Planned Cost ($)</t>
  </si>
  <si>
    <t>Actual Cost ($)</t>
  </si>
  <si>
    <t>Cumul. Planned ($)</t>
  </si>
  <si>
    <t>Cumul. Actual ($)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</si>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</sst>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"/>
    <numFmt numFmtId="166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375623"/>
      <name val="Arial"/>
      <charset val="1"/>
    </font>
    <font>
      <sz val="10"/>
      <color rgb="FF9C0006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DEEAF1"/>
        <bgColor rgb="FFE2EFDA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left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164" fontId="6" fillId="6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sz val="10"/>
        <color rgb="FFC55A11"/>
        <name val="Arial"/>
        <charset val="1"/>
      </font>
      <fill>
        <patternFill>
          <bgColor rgb="FFFCE4D6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2F2F2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Project Cost S-Curve — Planned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'S-Curve &amp; Charts'!$E$3</c:f>
              <c:strCache>
                <c:ptCount val="1"/>
                <c:pt idx="0">
                  <c:v>Cumul. Planned ($)</c:v>
                </c:pt>
              </c:strCache>
            </c:strRef>
          </c:tx>
          <c:spPr>
            <a:ln w="201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 &amp; Charts'!$B$4:$B$17</c:f>
              <c:strCache>
                <c:ptCount val="1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</c:strCache>
            </c:strRef>
          </c:cat>
          <c:val>
            <c:numRef>
              <c:f>'S-Curve &amp; Charts'!$E$4:$E$17</c:f>
              <c:numCache>
                <c:formatCode>\$#,##0</c:formatCode>
                <c:ptCount val="14"/>
                <c:pt idx="0">
                  <c:v>85000</c:v>
                </c:pt>
                <c:pt idx="1">
                  <c:v>195000</c:v>
                </c:pt>
                <c:pt idx="2">
                  <c:v>340000</c:v>
                </c:pt>
                <c:pt idx="3">
                  <c:v>505000</c:v>
                </c:pt>
                <c:pt idx="4">
                  <c:v>715000</c:v>
                </c:pt>
                <c:pt idx="5">
                  <c:v>945000</c:v>
                </c:pt>
                <c:pt idx="6">
                  <c:v>1190000</c:v>
                </c:pt>
                <c:pt idx="7">
                  <c:v>1450000</c:v>
                </c:pt>
                <c:pt idx="8">
                  <c:v>1705000</c:v>
                </c:pt>
                <c:pt idx="9">
                  <c:v>1945000</c:v>
                </c:pt>
                <c:pt idx="10">
                  <c:v>2150000</c:v>
                </c:pt>
                <c:pt idx="11">
                  <c:v>2300000</c:v>
                </c:pt>
                <c:pt idx="12">
                  <c:v>2375000</c:v>
                </c:pt>
                <c:pt idx="13">
                  <c:v>2420000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10-4296-8D6E-D55482B25A28}"/>
            </c:ext>
          </c:extLst>
        </c:ser>
        <c:ser>
          <c:idx val="1"/>
          <c:order val="1"/>
          <c:tx>
            <c:strRef>
              <c:f>'S-Curve &amp; Charts'!$F$3</c:f>
              <c:strCache>
                <c:ptCount val="1"/>
                <c:pt idx="0">
                  <c:v>Cumul. Actual ($)</c:v>
                </c:pt>
              </c:strCache>
            </c:strRef>
          </c:tx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 &amp; Charts'!$B$4:$B$17</c:f>
              <c:strCache>
                <c:ptCount val="1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</c:strCache>
            </c:strRef>
          </c:cat>
          <c:val>
            <c:numRef>
              <c:f>'S-Curve &amp; Charts'!$F$4:$F$17</c:f>
              <c:numCache>
                <c:formatCode>\$#,##0</c:formatCode>
                <c:ptCount val="14"/>
                <c:pt idx="0">
                  <c:v>82000</c:v>
                </c:pt>
                <c:pt idx="1">
                  <c:v>190000</c:v>
                </c:pt>
                <c:pt idx="2">
                  <c:v>333000</c:v>
                </c:pt>
                <c:pt idx="3">
                  <c:v>494000</c:v>
                </c:pt>
                <c:pt idx="4">
                  <c:v>692000</c:v>
                </c:pt>
                <c:pt idx="5">
                  <c:v>910000</c:v>
                </c:pt>
                <c:pt idx="6">
                  <c:v>1138000</c:v>
                </c:pt>
                <c:pt idx="7">
                  <c:v>1373000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10-4296-8D6E-D55482B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962845"/>
        <c:axId val="76814975"/>
      </c:lineChart>
      <c:catAx>
        <c:axId val="51962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14975"/>
        <c:crosses val="autoZero"/>
        <c:auto val="1"/>
        <c:lblAlgn val="ctr"/>
        <c:lblOffset val="100"/>
        <c:noMultiLvlLbl val="0"/>
      </c:catAx>
      <c:valAx>
        <c:axId val="76814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962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20</xdr:col>
      <xdr:colOff>375</xdr:colOff>
      <xdr:row>24</xdr:row>
      <xdr:rowOff>90000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G30"/>
  <sheetViews>
    <sheetView showGridLines="0" zoomScaleNormal="100" workbookViewId="0">
      <selection activeCell="J8" sqref="J8"/>
    </sheetView>
  </sheetViews>
  <sheetFormatPr defaultColWidth="8.7109375" defaultRowHeight="15" x14ac:dyDescent="0.25"/>
  <cols>
    <col min="1" max="1" width="3" customWidth="1"/>
    <col min="2" max="2" width="30.85546875" customWidth="1"/>
    <col min="3" max="4" width="14" customWidth="1"/>
    <col min="5" max="5" width="18.5703125" customWidth="1"/>
    <col min="6" max="6" width="19.7109375" customWidth="1"/>
    <col min="7" max="7" width="16" customWidth="1"/>
    <col min="8" max="8" width="3" customWidth="1"/>
  </cols>
  <sheetData>
    <row r="1" spans="2:7" ht="23.25" x14ac:dyDescent="0.25">
      <c r="B1" s="4" t="s">
        <v>0</v>
      </c>
      <c r="C1" s="4"/>
      <c r="D1" s="4"/>
      <c r="E1" s="4"/>
      <c r="F1" s="4"/>
      <c r="G1" s="4"/>
    </row>
    <row r="2" spans="2:7" ht="38.25" x14ac:dyDescent="0.25">
      <c r="B2" s="5" t="s">
        <v>1</v>
      </c>
      <c r="C2" s="6" t="s">
        <v>2</v>
      </c>
      <c r="E2" s="5" t="s">
        <v>3</v>
      </c>
      <c r="F2" s="6" t="s">
        <v>4</v>
      </c>
    </row>
    <row r="3" spans="2:7" ht="38.25" x14ac:dyDescent="0.25">
      <c r="B3" s="5" t="s">
        <v>5</v>
      </c>
      <c r="C3" s="6" t="s">
        <v>6</v>
      </c>
      <c r="E3" s="5" t="s">
        <v>7</v>
      </c>
      <c r="F3" s="7">
        <f ca="1">TODAY()</f>
        <v>46104</v>
      </c>
    </row>
    <row r="4" spans="2:7" ht="38.25" x14ac:dyDescent="0.25">
      <c r="B4" s="5" t="s">
        <v>8</v>
      </c>
      <c r="C4" s="6" t="s">
        <v>9</v>
      </c>
      <c r="E4" s="5" t="s">
        <v>10</v>
      </c>
      <c r="F4" s="6" t="s">
        <v>11</v>
      </c>
    </row>
    <row r="6" spans="2:7" x14ac:dyDescent="0.25">
      <c r="B6" s="3" t="s">
        <v>12</v>
      </c>
      <c r="C6" s="3"/>
      <c r="D6" s="3"/>
      <c r="E6" s="3"/>
      <c r="F6" s="3"/>
      <c r="G6" s="3"/>
    </row>
    <row r="7" spans="2:7" x14ac:dyDescent="0.25"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</row>
    <row r="8" spans="2:7" x14ac:dyDescent="0.25">
      <c r="B8" s="9" t="s">
        <v>18</v>
      </c>
      <c r="C8" s="10">
        <f>'Cost Tracker'!O16</f>
        <v>1.0317619645097689</v>
      </c>
      <c r="D8" s="11" t="s">
        <v>19</v>
      </c>
      <c r="E8" s="12">
        <f>'Cost Tracker'!O16-1</f>
        <v>3.176196450976887E-2</v>
      </c>
      <c r="F8" s="13" t="str">
        <f>IF('Cost Tracker'!O4&gt;=1,"On Track","At Risk")</f>
        <v>On Track</v>
      </c>
    </row>
    <row r="9" spans="2:7" ht="25.5" x14ac:dyDescent="0.25">
      <c r="B9" s="9" t="s">
        <v>20</v>
      </c>
      <c r="C9" s="10">
        <f>Schedule!N24</f>
        <v>0.86518214465273302</v>
      </c>
      <c r="D9" s="11" t="s">
        <v>19</v>
      </c>
      <c r="E9" s="12">
        <f>Schedule!N24-1</f>
        <v>-0.13481785534726698</v>
      </c>
      <c r="F9" s="13" t="str">
        <f>IF(Schedule!N24&gt;=1,"On Track","At Risk")</f>
        <v>At Risk</v>
      </c>
    </row>
    <row r="10" spans="2:7" x14ac:dyDescent="0.25">
      <c r="B10" s="9" t="s">
        <v>21</v>
      </c>
      <c r="C10" s="10">
        <f>'Cost Tracker'!K16</f>
        <v>0.67884810383289396</v>
      </c>
      <c r="D10" s="11" t="s">
        <v>22</v>
      </c>
      <c r="E10" s="12">
        <f>'Cost Tracker'!K16-0.85</f>
        <v>-0.17115189616710602</v>
      </c>
      <c r="F10" s="13" t="str">
        <f>IF('Cost Tracker'!O16&lt;=0.85,"On Track","Over Budget")</f>
        <v>Over Budget</v>
      </c>
    </row>
    <row r="11" spans="2:7" x14ac:dyDescent="0.25">
      <c r="B11" s="9" t="s">
        <v>23</v>
      </c>
      <c r="C11" s="13">
        <f>COUNTIF('RFI Log'!K:K,"Open")</f>
        <v>5</v>
      </c>
      <c r="D11" s="11" t="s">
        <v>24</v>
      </c>
      <c r="E11" s="12">
        <f>COUNTIF('RFI Log'!K:K,"Open")-5</f>
        <v>0</v>
      </c>
      <c r="F11" s="13" t="str">
        <f>IF(COUNTIF('RFI Log'!K:K,"Open")&lt;5,"On Track","Needs Attention")</f>
        <v>Needs Attention</v>
      </c>
    </row>
    <row r="12" spans="2:7" x14ac:dyDescent="0.25">
      <c r="B12" s="9" t="s">
        <v>25</v>
      </c>
      <c r="C12" s="13">
        <f>COUNTIF('Submittal Register'!H:H,"Overdue")</f>
        <v>1</v>
      </c>
      <c r="D12" s="11" t="s">
        <v>26</v>
      </c>
      <c r="E12" s="12">
        <f>COUNTIF('Submittal Register'!H:H,"Overdue")</f>
        <v>1</v>
      </c>
      <c r="F12" s="13" t="str">
        <f>IF(COUNTIF('Submittal Register'!H:H,"Overdue")=0,"On Track","Action Required")</f>
        <v>Action Required</v>
      </c>
    </row>
    <row r="14" spans="2:7" x14ac:dyDescent="0.25">
      <c r="B14" s="3" t="s">
        <v>27</v>
      </c>
      <c r="C14" s="3"/>
      <c r="D14" s="3"/>
      <c r="E14" s="3" t="s">
        <v>28</v>
      </c>
      <c r="F14" s="3"/>
      <c r="G14" s="3"/>
    </row>
    <row r="15" spans="2:7" x14ac:dyDescent="0.25">
      <c r="B15" s="8" t="s">
        <v>29</v>
      </c>
      <c r="C15" s="8" t="s">
        <v>30</v>
      </c>
      <c r="D15" s="8" t="s">
        <v>31</v>
      </c>
      <c r="E15" s="8" t="s">
        <v>32</v>
      </c>
      <c r="F15" s="8" t="s">
        <v>33</v>
      </c>
      <c r="G15" s="8" t="s">
        <v>34</v>
      </c>
    </row>
    <row r="16" spans="2:7" ht="25.5" x14ac:dyDescent="0.25">
      <c r="B16" s="14" t="s">
        <v>35</v>
      </c>
      <c r="C16" s="15">
        <v>100000</v>
      </c>
      <c r="D16" s="16">
        <f>'Cost Tracker'!G5</f>
        <v>44200</v>
      </c>
      <c r="E16" s="17" t="s">
        <v>36</v>
      </c>
      <c r="F16" s="18">
        <v>1</v>
      </c>
      <c r="G16" s="19">
        <v>1</v>
      </c>
    </row>
    <row r="17" spans="2:7" x14ac:dyDescent="0.25">
      <c r="B17" s="9" t="s">
        <v>37</v>
      </c>
      <c r="C17" s="20">
        <v>45000</v>
      </c>
      <c r="D17" s="21">
        <f>'Cost Tracker'!G6</f>
        <v>275000</v>
      </c>
      <c r="E17" s="22" t="s">
        <v>38</v>
      </c>
      <c r="F17" s="23">
        <v>1</v>
      </c>
      <c r="G17" s="24">
        <v>1</v>
      </c>
    </row>
    <row r="18" spans="2:7" ht="25.5" x14ac:dyDescent="0.25">
      <c r="B18" s="14" t="s">
        <v>39</v>
      </c>
      <c r="C18" s="15">
        <v>280000</v>
      </c>
      <c r="D18" s="16">
        <f>'Cost Tracker'!G7</f>
        <v>93000</v>
      </c>
      <c r="E18" s="17" t="s">
        <v>40</v>
      </c>
      <c r="F18" s="18">
        <v>1</v>
      </c>
      <c r="G18" s="19">
        <v>0.95</v>
      </c>
    </row>
    <row r="19" spans="2:7" x14ac:dyDescent="0.25">
      <c r="B19" s="9" t="s">
        <v>41</v>
      </c>
      <c r="C19" s="20">
        <v>95000</v>
      </c>
      <c r="D19" s="21">
        <f>'Cost Tracker'!G8</f>
        <v>208000</v>
      </c>
      <c r="E19" s="22" t="s">
        <v>42</v>
      </c>
      <c r="F19" s="23">
        <v>0.8</v>
      </c>
      <c r="G19" s="24">
        <v>0.72</v>
      </c>
    </row>
    <row r="20" spans="2:7" ht="25.5" x14ac:dyDescent="0.25">
      <c r="B20" s="14" t="s">
        <v>43</v>
      </c>
      <c r="C20" s="15">
        <v>210000</v>
      </c>
      <c r="D20" s="16">
        <f>'Cost Tracker'!G9</f>
        <v>171000</v>
      </c>
      <c r="E20" s="17" t="s">
        <v>44</v>
      </c>
      <c r="F20" s="18">
        <v>0.6</v>
      </c>
      <c r="G20" s="19">
        <v>0.55000000000000004</v>
      </c>
    </row>
    <row r="21" spans="2:7" ht="25.5" x14ac:dyDescent="0.25">
      <c r="B21" s="9" t="s">
        <v>45</v>
      </c>
      <c r="C21" s="20">
        <v>175000</v>
      </c>
      <c r="D21" s="21">
        <f>'Cost Tracker'!G10</f>
        <v>127500</v>
      </c>
      <c r="E21" s="22" t="s">
        <v>46</v>
      </c>
      <c r="F21" s="23">
        <v>0.4</v>
      </c>
      <c r="G21" s="24">
        <v>0.35</v>
      </c>
    </row>
    <row r="22" spans="2:7" x14ac:dyDescent="0.25">
      <c r="B22" s="14" t="s">
        <v>47</v>
      </c>
      <c r="C22" s="15">
        <v>130000</v>
      </c>
      <c r="D22" s="16">
        <f>'Cost Tracker'!G11</f>
        <v>143000</v>
      </c>
      <c r="E22" s="17" t="s">
        <v>48</v>
      </c>
      <c r="F22" s="18">
        <v>0.05</v>
      </c>
      <c r="G22" s="19">
        <v>0.03</v>
      </c>
    </row>
    <row r="23" spans="2:7" ht="25.5" x14ac:dyDescent="0.25">
      <c r="B23" s="9" t="s">
        <v>49</v>
      </c>
      <c r="C23" s="20">
        <v>145000</v>
      </c>
      <c r="D23" s="21">
        <f>'Cost Tracker'!G12</f>
        <v>48000</v>
      </c>
      <c r="E23" s="22" t="s">
        <v>50</v>
      </c>
      <c r="F23" s="23">
        <v>0</v>
      </c>
      <c r="G23" s="24">
        <v>0</v>
      </c>
    </row>
    <row r="24" spans="2:7" x14ac:dyDescent="0.25">
      <c r="B24" s="14" t="s">
        <v>51</v>
      </c>
      <c r="C24" s="15">
        <v>320000</v>
      </c>
      <c r="D24" s="16">
        <f>'Cost Tracker'!G13</f>
        <v>12000</v>
      </c>
      <c r="E24" s="16">
        <f>C24-D24</f>
        <v>308000</v>
      </c>
      <c r="F24" s="25">
        <f>IFERROR(D24/C24,0)</f>
        <v>3.7499999999999999E-2</v>
      </c>
    </row>
    <row r="25" spans="2:7" x14ac:dyDescent="0.25">
      <c r="B25" s="9" t="s">
        <v>52</v>
      </c>
      <c r="C25" s="20">
        <v>180000</v>
      </c>
      <c r="D25" s="21">
        <f>'Cost Tracker'!G14</f>
        <v>285000</v>
      </c>
      <c r="E25" s="21">
        <f>C25-D25</f>
        <v>-105000</v>
      </c>
      <c r="F25" s="26">
        <f>IFERROR(D25/C25,0)</f>
        <v>1.5833333333333333</v>
      </c>
    </row>
    <row r="26" spans="2:7" x14ac:dyDescent="0.25">
      <c r="B26" s="14" t="s">
        <v>53</v>
      </c>
      <c r="C26" s="15">
        <v>550000</v>
      </c>
      <c r="D26" s="16">
        <f>'Cost Tracker'!G15</f>
        <v>149000</v>
      </c>
      <c r="E26" s="16">
        <f>C26-D26</f>
        <v>401000</v>
      </c>
      <c r="F26" s="25">
        <f>IFERROR(D26/C26,0)</f>
        <v>0.27090909090909093</v>
      </c>
    </row>
    <row r="27" spans="2:7" x14ac:dyDescent="0.25">
      <c r="B27" s="9" t="s">
        <v>54</v>
      </c>
      <c r="C27" s="20">
        <v>150000</v>
      </c>
      <c r="D27" s="21">
        <f>'Cost Tracker'!G16</f>
        <v>1673700</v>
      </c>
      <c r="E27" s="21">
        <f>C27-D27</f>
        <v>-1523700</v>
      </c>
      <c r="F27" s="26">
        <f>IFERROR(D27/C27,0)</f>
        <v>11.157999999999999</v>
      </c>
    </row>
    <row r="28" spans="2:7" x14ac:dyDescent="0.25">
      <c r="B28" s="27" t="s">
        <v>55</v>
      </c>
      <c r="C28" s="28">
        <f>SUM(C16:C27)</f>
        <v>2380000</v>
      </c>
      <c r="D28" s="28">
        <f>SUM(D16:D27)</f>
        <v>3229400</v>
      </c>
      <c r="E28" s="28">
        <f>SUM(E16:E27)</f>
        <v>-919700</v>
      </c>
      <c r="F28" s="29">
        <f>IFERROR(D28/C28,0)</f>
        <v>1.356890756302521</v>
      </c>
    </row>
    <row r="30" spans="2:7" x14ac:dyDescent="0.25">
      <c r="B30" s="2" t="s">
        <v>56</v>
      </c>
      <c r="C30" s="2"/>
      <c r="D30" s="2"/>
      <c r="E30" s="2"/>
      <c r="F30" s="2"/>
      <c r="G30" s="2"/>
    </row>
  </sheetData>
  <mergeCells count="5">
    <mergeCell ref="B1:G1"/>
    <mergeCell ref="B6:G6"/>
    <mergeCell ref="B14:D14"/>
    <mergeCell ref="E14:G14"/>
    <mergeCell ref="B30:G30"/>
  </mergeCells>
  <conditionalFormatting sqref="F8:F12">
    <cfRule type="cellIs" dxfId="13" priority="2" operator="equal">
      <formula>"On Track"</formula>
    </cfRule>
    <cfRule type="cellIs" dxfId="12" priority="3" operator="notEqual">
      <formula>"On Track"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B1:P18"/>
  <sheetViews>
    <sheetView showGridLines="0" topLeftCell="C1" zoomScaleNormal="100" workbookViewId="0">
      <selection activeCell="Q25" sqref="Q25"/>
    </sheetView>
  </sheetViews>
  <sheetFormatPr defaultColWidth="8.7109375" defaultRowHeight="15" x14ac:dyDescent="0.25"/>
  <cols>
    <col min="1" max="1" width="4" customWidth="1"/>
    <col min="2" max="2" width="23.5703125" bestFit="1" customWidth="1"/>
    <col min="3" max="3" width="23" bestFit="1" customWidth="1"/>
    <col min="4" max="4" width="9.28515625" bestFit="1" customWidth="1"/>
    <col min="5" max="5" width="35.7109375" bestFit="1" customWidth="1"/>
    <col min="6" max="6" width="10.140625" bestFit="1" customWidth="1"/>
    <col min="7" max="7" width="12.28515625" bestFit="1" customWidth="1"/>
    <col min="8" max="8" width="26.7109375" bestFit="1" customWidth="1"/>
    <col min="9" max="9" width="12.140625" bestFit="1" customWidth="1"/>
    <col min="10" max="10" width="12.42578125" bestFit="1" customWidth="1"/>
    <col min="11" max="11" width="8.42578125" bestFit="1" customWidth="1"/>
    <col min="12" max="12" width="8.7109375" bestFit="1" customWidth="1"/>
    <col min="13" max="13" width="11.7109375" bestFit="1" customWidth="1"/>
    <col min="14" max="14" width="8.28515625" bestFit="1" customWidth="1"/>
    <col min="15" max="16" width="4.5703125" bestFit="1" customWidth="1"/>
    <col min="17" max="17" width="3.140625" bestFit="1" customWidth="1"/>
  </cols>
  <sheetData>
    <row r="1" spans="2:16" ht="20.25" x14ac:dyDescent="0.25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2:16" ht="36" x14ac:dyDescent="0.25">
      <c r="B3" s="30" t="s">
        <v>29</v>
      </c>
      <c r="C3" s="30" t="s">
        <v>58</v>
      </c>
      <c r="D3" s="30" t="s">
        <v>59</v>
      </c>
      <c r="E3" s="30" t="s">
        <v>60</v>
      </c>
      <c r="F3" s="30" t="s">
        <v>61</v>
      </c>
      <c r="G3" s="30" t="s">
        <v>62</v>
      </c>
      <c r="H3" s="30" t="s">
        <v>63</v>
      </c>
      <c r="I3" s="30" t="s">
        <v>64</v>
      </c>
      <c r="J3" s="30" t="s">
        <v>65</v>
      </c>
      <c r="K3" s="30" t="s">
        <v>66</v>
      </c>
      <c r="L3" s="30" t="s">
        <v>67</v>
      </c>
      <c r="M3" s="30" t="s">
        <v>68</v>
      </c>
      <c r="N3" s="30" t="s">
        <v>69</v>
      </c>
      <c r="O3" s="30" t="s">
        <v>70</v>
      </c>
      <c r="P3" s="30" t="s">
        <v>71</v>
      </c>
    </row>
    <row r="4" spans="2:16" x14ac:dyDescent="0.25">
      <c r="B4" s="14" t="s">
        <v>35</v>
      </c>
      <c r="C4" s="15">
        <v>120000</v>
      </c>
      <c r="D4" s="15">
        <v>5000</v>
      </c>
      <c r="E4" s="16">
        <f t="shared" ref="E4:E15" si="0">C4+D4</f>
        <v>125000</v>
      </c>
      <c r="F4" s="15">
        <v>120360</v>
      </c>
      <c r="G4" s="15">
        <v>118000</v>
      </c>
      <c r="H4" s="16">
        <f>IFERROR(G4/N4,120000)</f>
        <v>16.857142857142858</v>
      </c>
      <c r="I4" s="16">
        <f t="shared" ref="I4:I15" si="1">E4-H4</f>
        <v>124983.14285714286</v>
      </c>
      <c r="J4" s="16">
        <f t="shared" ref="J4:J15" si="2">E4-G4</f>
        <v>7000</v>
      </c>
      <c r="K4" s="25">
        <f t="shared" ref="K4:K16" si="3">IFERROR(G4/E4,0)</f>
        <v>0.94399999999999995</v>
      </c>
      <c r="L4" s="31">
        <v>1</v>
      </c>
      <c r="M4" s="16">
        <f t="shared" ref="M4:M15" si="4">E4*L4</f>
        <v>125000</v>
      </c>
      <c r="N4" s="16">
        <f t="shared" ref="N4:N15" si="5">M4-G4</f>
        <v>7000</v>
      </c>
      <c r="O4" s="32">
        <f t="shared" ref="O4:O16" si="6">IFERROR(M4/G4,1)</f>
        <v>1.0593220338983051</v>
      </c>
      <c r="P4" s="32">
        <f>IFERROR(M4/(120000),1)</f>
        <v>1.0416666666666667</v>
      </c>
    </row>
    <row r="5" spans="2:16" x14ac:dyDescent="0.25">
      <c r="B5" s="9" t="s">
        <v>37</v>
      </c>
      <c r="C5" s="20">
        <v>45000</v>
      </c>
      <c r="D5" s="20">
        <v>0</v>
      </c>
      <c r="E5" s="21">
        <f t="shared" si="0"/>
        <v>45000</v>
      </c>
      <c r="F5" s="20">
        <v>45084</v>
      </c>
      <c r="G5" s="20">
        <v>44200</v>
      </c>
      <c r="H5" s="21">
        <f>IFERROR(G5/N5,45000)</f>
        <v>55.25</v>
      </c>
      <c r="I5" s="21">
        <f t="shared" si="1"/>
        <v>44944.75</v>
      </c>
      <c r="J5" s="21">
        <f t="shared" si="2"/>
        <v>800</v>
      </c>
      <c r="K5" s="26">
        <f t="shared" si="3"/>
        <v>0.98222222222222222</v>
      </c>
      <c r="L5" s="33">
        <v>1</v>
      </c>
      <c r="M5" s="21">
        <f t="shared" si="4"/>
        <v>45000</v>
      </c>
      <c r="N5" s="21">
        <f t="shared" si="5"/>
        <v>800</v>
      </c>
      <c r="O5" s="34">
        <f t="shared" si="6"/>
        <v>1.0180995475113122</v>
      </c>
      <c r="P5" s="34">
        <f>IFERROR(M5/(45000),1)</f>
        <v>1</v>
      </c>
    </row>
    <row r="6" spans="2:16" x14ac:dyDescent="0.25">
      <c r="B6" s="14" t="s">
        <v>39</v>
      </c>
      <c r="C6" s="15">
        <v>280000</v>
      </c>
      <c r="D6" s="15">
        <v>12000</v>
      </c>
      <c r="E6" s="16">
        <f t="shared" si="0"/>
        <v>292000</v>
      </c>
      <c r="F6" s="15">
        <v>280500</v>
      </c>
      <c r="G6" s="15">
        <v>275000</v>
      </c>
      <c r="H6" s="16">
        <f>IFERROR(G6/N6,280000)</f>
        <v>24.641577060931901</v>
      </c>
      <c r="I6" s="16">
        <f t="shared" si="1"/>
        <v>291975.35842293908</v>
      </c>
      <c r="J6" s="16">
        <f t="shared" si="2"/>
        <v>17000</v>
      </c>
      <c r="K6" s="25">
        <f t="shared" si="3"/>
        <v>0.94178082191780821</v>
      </c>
      <c r="L6" s="31">
        <v>0.98</v>
      </c>
      <c r="M6" s="16">
        <f t="shared" si="4"/>
        <v>286160</v>
      </c>
      <c r="N6" s="16">
        <f t="shared" si="5"/>
        <v>11160</v>
      </c>
      <c r="O6" s="32">
        <f t="shared" si="6"/>
        <v>1.0405818181818183</v>
      </c>
      <c r="P6" s="32">
        <f>IFERROR(M6/(274400),1)</f>
        <v>1.0428571428571429</v>
      </c>
    </row>
    <row r="7" spans="2:16" x14ac:dyDescent="0.25">
      <c r="B7" s="9" t="s">
        <v>41</v>
      </c>
      <c r="C7" s="20">
        <v>95000</v>
      </c>
      <c r="D7" s="20">
        <v>2000</v>
      </c>
      <c r="E7" s="21">
        <f t="shared" si="0"/>
        <v>97000</v>
      </c>
      <c r="F7" s="20">
        <v>94860</v>
      </c>
      <c r="G7" s="20">
        <v>93000</v>
      </c>
      <c r="H7" s="21">
        <f>IFERROR(G7/N7,95000)</f>
        <v>45.145631067961162</v>
      </c>
      <c r="I7" s="21">
        <f t="shared" si="1"/>
        <v>96954.854368932036</v>
      </c>
      <c r="J7" s="21">
        <f t="shared" si="2"/>
        <v>4000</v>
      </c>
      <c r="K7" s="26">
        <f t="shared" si="3"/>
        <v>0.95876288659793818</v>
      </c>
      <c r="L7" s="33">
        <v>0.98</v>
      </c>
      <c r="M7" s="21">
        <f t="shared" si="4"/>
        <v>95060</v>
      </c>
      <c r="N7" s="21">
        <f t="shared" si="5"/>
        <v>2060</v>
      </c>
      <c r="O7" s="34">
        <f t="shared" si="6"/>
        <v>1.0221505376344087</v>
      </c>
      <c r="P7" s="34">
        <f>IFERROR(M7/(93100),1)</f>
        <v>1.0210526315789474</v>
      </c>
    </row>
    <row r="8" spans="2:16" x14ac:dyDescent="0.25">
      <c r="B8" s="14" t="s">
        <v>43</v>
      </c>
      <c r="C8" s="15">
        <v>210000</v>
      </c>
      <c r="D8" s="15">
        <v>8000</v>
      </c>
      <c r="E8" s="16">
        <f t="shared" si="0"/>
        <v>218000</v>
      </c>
      <c r="F8" s="15">
        <v>212160</v>
      </c>
      <c r="G8" s="15">
        <v>208000</v>
      </c>
      <c r="H8" s="16">
        <f>IFERROR(G8/N8,210000)</f>
        <v>26.598465473145779</v>
      </c>
      <c r="I8" s="16">
        <f t="shared" si="1"/>
        <v>217973.40153452684</v>
      </c>
      <c r="J8" s="16">
        <f t="shared" si="2"/>
        <v>10000</v>
      </c>
      <c r="K8" s="25">
        <f t="shared" si="3"/>
        <v>0.95412844036697253</v>
      </c>
      <c r="L8" s="31">
        <v>0.99</v>
      </c>
      <c r="M8" s="16">
        <f t="shared" si="4"/>
        <v>215820</v>
      </c>
      <c r="N8" s="16">
        <f t="shared" si="5"/>
        <v>7820</v>
      </c>
      <c r="O8" s="32">
        <f t="shared" si="6"/>
        <v>1.0375961538461538</v>
      </c>
      <c r="P8" s="32">
        <f>IFERROR(M8/(207900),1)</f>
        <v>1.0380952380952382</v>
      </c>
    </row>
    <row r="9" spans="2:16" x14ac:dyDescent="0.25">
      <c r="B9" s="9" t="s">
        <v>45</v>
      </c>
      <c r="C9" s="20">
        <v>175000</v>
      </c>
      <c r="D9" s="20">
        <v>3500</v>
      </c>
      <c r="E9" s="21">
        <f t="shared" si="0"/>
        <v>178500</v>
      </c>
      <c r="F9" s="20">
        <v>174420</v>
      </c>
      <c r="G9" s="20">
        <v>171000</v>
      </c>
      <c r="H9" s="21">
        <f>IFERROR(G9/N9,175000)</f>
        <v>43.511450381679388</v>
      </c>
      <c r="I9" s="21">
        <f t="shared" si="1"/>
        <v>178456.48854961831</v>
      </c>
      <c r="J9" s="21">
        <f t="shared" si="2"/>
        <v>7500</v>
      </c>
      <c r="K9" s="26">
        <f t="shared" si="3"/>
        <v>0.95798319327731096</v>
      </c>
      <c r="L9" s="33">
        <v>0.98</v>
      </c>
      <c r="M9" s="21">
        <f t="shared" si="4"/>
        <v>174930</v>
      </c>
      <c r="N9" s="21">
        <f t="shared" si="5"/>
        <v>3930</v>
      </c>
      <c r="O9" s="34">
        <f t="shared" si="6"/>
        <v>1.0229824561403509</v>
      </c>
      <c r="P9" s="34">
        <f>IFERROR(M9/(171500),1)</f>
        <v>1.02</v>
      </c>
    </row>
    <row r="10" spans="2:16" x14ac:dyDescent="0.25">
      <c r="B10" s="14" t="s">
        <v>47</v>
      </c>
      <c r="C10" s="15">
        <v>130000</v>
      </c>
      <c r="D10" s="15">
        <v>1000</v>
      </c>
      <c r="E10" s="16">
        <f t="shared" si="0"/>
        <v>131000</v>
      </c>
      <c r="F10" s="15">
        <v>130050</v>
      </c>
      <c r="G10" s="15">
        <v>127500</v>
      </c>
      <c r="H10" s="16">
        <f>IFERROR(G10/N10,130000)</f>
        <v>144.88636363636363</v>
      </c>
      <c r="I10" s="16">
        <f t="shared" si="1"/>
        <v>130855.11363636363</v>
      </c>
      <c r="J10" s="16">
        <f t="shared" si="2"/>
        <v>3500</v>
      </c>
      <c r="K10" s="25">
        <f t="shared" si="3"/>
        <v>0.97328244274809161</v>
      </c>
      <c r="L10" s="31">
        <v>0.98</v>
      </c>
      <c r="M10" s="16">
        <f t="shared" si="4"/>
        <v>128380</v>
      </c>
      <c r="N10" s="16">
        <f t="shared" si="5"/>
        <v>880</v>
      </c>
      <c r="O10" s="32">
        <f t="shared" si="6"/>
        <v>1.0069019607843137</v>
      </c>
      <c r="P10" s="32">
        <f>IFERROR(M10/(127400),1)</f>
        <v>1.0076923076923077</v>
      </c>
    </row>
    <row r="11" spans="2:16" x14ac:dyDescent="0.25">
      <c r="B11" s="9" t="s">
        <v>49</v>
      </c>
      <c r="C11" s="20">
        <v>145000</v>
      </c>
      <c r="D11" s="20">
        <v>4500</v>
      </c>
      <c r="E11" s="21">
        <f t="shared" si="0"/>
        <v>149500</v>
      </c>
      <c r="F11" s="20">
        <v>145860</v>
      </c>
      <c r="G11" s="20">
        <v>143000</v>
      </c>
      <c r="H11" s="21">
        <f>IFERROR(G11/N11,145000)</f>
        <v>28.571428571428573</v>
      </c>
      <c r="I11" s="21">
        <f t="shared" si="1"/>
        <v>149471.42857142858</v>
      </c>
      <c r="J11" s="21">
        <f t="shared" si="2"/>
        <v>6500</v>
      </c>
      <c r="K11" s="26">
        <f t="shared" si="3"/>
        <v>0.95652173913043481</v>
      </c>
      <c r="L11" s="33">
        <v>0.99</v>
      </c>
      <c r="M11" s="21">
        <f t="shared" si="4"/>
        <v>148005</v>
      </c>
      <c r="N11" s="21">
        <f t="shared" si="5"/>
        <v>5005</v>
      </c>
      <c r="O11" s="34">
        <f t="shared" si="6"/>
        <v>1.0349999999999999</v>
      </c>
      <c r="P11" s="34">
        <f>IFERROR(M11/(143550),1)</f>
        <v>1.0310344827586206</v>
      </c>
    </row>
    <row r="12" spans="2:16" x14ac:dyDescent="0.25">
      <c r="B12" s="14" t="s">
        <v>51</v>
      </c>
      <c r="C12" s="15">
        <v>320000</v>
      </c>
      <c r="D12" s="15">
        <v>6000</v>
      </c>
      <c r="E12" s="16">
        <f t="shared" si="0"/>
        <v>326000</v>
      </c>
      <c r="F12" s="15">
        <v>48960</v>
      </c>
      <c r="G12" s="15">
        <v>48000</v>
      </c>
      <c r="H12" s="16">
        <f>IFERROR(G12/N12,320000)</f>
        <v>53.333333333333336</v>
      </c>
      <c r="I12" s="16">
        <f t="shared" si="1"/>
        <v>325946.66666666669</v>
      </c>
      <c r="J12" s="16">
        <f t="shared" si="2"/>
        <v>278000</v>
      </c>
      <c r="K12" s="25">
        <f t="shared" si="3"/>
        <v>0.14723926380368099</v>
      </c>
      <c r="L12" s="31">
        <v>0.15</v>
      </c>
      <c r="M12" s="16">
        <f t="shared" si="4"/>
        <v>48900</v>
      </c>
      <c r="N12" s="16">
        <f t="shared" si="5"/>
        <v>900</v>
      </c>
      <c r="O12" s="32">
        <f t="shared" si="6"/>
        <v>1.01875</v>
      </c>
      <c r="P12" s="32">
        <f>IFERROR(M12/(48000),1)</f>
        <v>1.01875</v>
      </c>
    </row>
    <row r="13" spans="2:16" x14ac:dyDescent="0.25">
      <c r="B13" s="9" t="s">
        <v>52</v>
      </c>
      <c r="C13" s="20">
        <v>180000</v>
      </c>
      <c r="D13" s="20">
        <v>2500</v>
      </c>
      <c r="E13" s="21">
        <f t="shared" si="0"/>
        <v>182500</v>
      </c>
      <c r="F13" s="20">
        <v>12240</v>
      </c>
      <c r="G13" s="20">
        <v>12000</v>
      </c>
      <c r="H13" s="21">
        <f>IFERROR(G13/N13,180000)</f>
        <v>15.483870967741899</v>
      </c>
      <c r="I13" s="21">
        <f t="shared" si="1"/>
        <v>182484.51612903227</v>
      </c>
      <c r="J13" s="21">
        <f t="shared" si="2"/>
        <v>170500</v>
      </c>
      <c r="K13" s="26">
        <f t="shared" si="3"/>
        <v>6.575342465753424E-2</v>
      </c>
      <c r="L13" s="33">
        <v>7.0000000000000007E-2</v>
      </c>
      <c r="M13" s="21">
        <f t="shared" si="4"/>
        <v>12775.000000000002</v>
      </c>
      <c r="N13" s="21">
        <f t="shared" si="5"/>
        <v>775.00000000000182</v>
      </c>
      <c r="O13" s="34">
        <f t="shared" si="6"/>
        <v>1.0645833333333334</v>
      </c>
      <c r="P13" s="34">
        <f>IFERROR(M13/(12600),1)</f>
        <v>1.0138888888888891</v>
      </c>
    </row>
    <row r="14" spans="2:16" x14ac:dyDescent="0.25">
      <c r="B14" s="14" t="s">
        <v>53</v>
      </c>
      <c r="C14" s="15">
        <v>550000</v>
      </c>
      <c r="D14" s="15">
        <v>18000</v>
      </c>
      <c r="E14" s="16">
        <f t="shared" si="0"/>
        <v>568000</v>
      </c>
      <c r="F14" s="15">
        <v>290700</v>
      </c>
      <c r="G14" s="15">
        <v>285000</v>
      </c>
      <c r="H14" s="16">
        <f>IFERROR(G14/N14,550000)</f>
        <v>27.509652509652511</v>
      </c>
      <c r="I14" s="16">
        <f t="shared" si="1"/>
        <v>567972.4903474903</v>
      </c>
      <c r="J14" s="16">
        <f t="shared" si="2"/>
        <v>283000</v>
      </c>
      <c r="K14" s="25">
        <f t="shared" si="3"/>
        <v>0.50176056338028174</v>
      </c>
      <c r="L14" s="31">
        <v>0.52</v>
      </c>
      <c r="M14" s="16">
        <f t="shared" si="4"/>
        <v>295360</v>
      </c>
      <c r="N14" s="16">
        <f t="shared" si="5"/>
        <v>10360</v>
      </c>
      <c r="O14" s="32">
        <f t="shared" si="6"/>
        <v>1.0363508771929824</v>
      </c>
      <c r="P14" s="32">
        <f>IFERROR(M14/(286000),1)</f>
        <v>1.0327272727272727</v>
      </c>
    </row>
    <row r="15" spans="2:16" x14ac:dyDescent="0.25">
      <c r="B15" s="9" t="s">
        <v>54</v>
      </c>
      <c r="C15" s="20">
        <v>150000</v>
      </c>
      <c r="D15" s="20">
        <v>3000</v>
      </c>
      <c r="E15" s="21">
        <f t="shared" si="0"/>
        <v>153000</v>
      </c>
      <c r="F15" s="20">
        <v>151980</v>
      </c>
      <c r="G15" s="20">
        <v>149000</v>
      </c>
      <c r="H15" s="21">
        <f>IFERROR(G15/N15,150000)</f>
        <v>60.323886639676111</v>
      </c>
      <c r="I15" s="21">
        <f t="shared" si="1"/>
        <v>152939.67611336033</v>
      </c>
      <c r="J15" s="21">
        <f t="shared" si="2"/>
        <v>4000</v>
      </c>
      <c r="K15" s="26">
        <f t="shared" si="3"/>
        <v>0.97385620915032678</v>
      </c>
      <c r="L15" s="33">
        <v>0.99</v>
      </c>
      <c r="M15" s="21">
        <f t="shared" si="4"/>
        <v>151470</v>
      </c>
      <c r="N15" s="21">
        <f t="shared" si="5"/>
        <v>2470</v>
      </c>
      <c r="O15" s="34">
        <f t="shared" si="6"/>
        <v>1.0165771812080537</v>
      </c>
      <c r="P15" s="34">
        <f>IFERROR(M15/(148500),1)</f>
        <v>1.02</v>
      </c>
    </row>
    <row r="16" spans="2:16" x14ac:dyDescent="0.25">
      <c r="B16" s="27" t="s">
        <v>72</v>
      </c>
      <c r="C16" s="28">
        <f t="shared" ref="C16:J16" si="7">SUM(C4:C15)</f>
        <v>2400000</v>
      </c>
      <c r="D16" s="28">
        <f t="shared" si="7"/>
        <v>65500</v>
      </c>
      <c r="E16" s="28">
        <f t="shared" si="7"/>
        <v>2465500</v>
      </c>
      <c r="F16" s="28">
        <f t="shared" si="7"/>
        <v>1707174</v>
      </c>
      <c r="G16" s="28">
        <f t="shared" si="7"/>
        <v>1673700</v>
      </c>
      <c r="H16" s="28">
        <f t="shared" si="7"/>
        <v>542.11280249905701</v>
      </c>
      <c r="I16" s="28">
        <f t="shared" si="7"/>
        <v>2464957.887197501</v>
      </c>
      <c r="J16" s="28">
        <f t="shared" si="7"/>
        <v>791800</v>
      </c>
      <c r="K16" s="29">
        <f t="shared" si="3"/>
        <v>0.67884810383289396</v>
      </c>
      <c r="M16" s="28">
        <f>SUM(M4:M15)</f>
        <v>1726860</v>
      </c>
      <c r="N16" s="28">
        <f>SUM(N4:N15)</f>
        <v>53160</v>
      </c>
      <c r="O16" s="35">
        <f t="shared" si="6"/>
        <v>1.0317619645097689</v>
      </c>
      <c r="P16" s="35">
        <f>AVERAGE(P4:P15)</f>
        <v>1.0239803859387571</v>
      </c>
    </row>
    <row r="18" spans="2:8" x14ac:dyDescent="0.25">
      <c r="B18" s="36" t="s">
        <v>73</v>
      </c>
      <c r="C18" s="37" t="s">
        <v>74</v>
      </c>
      <c r="E18" s="38" t="s">
        <v>75</v>
      </c>
      <c r="H18" s="39" t="s">
        <v>76</v>
      </c>
    </row>
  </sheetData>
  <mergeCells count="1">
    <mergeCell ref="B1:P1"/>
  </mergeCells>
  <conditionalFormatting sqref="O4:P16">
    <cfRule type="cellIs" dxfId="11" priority="2" operator="greaterThanOrEqual">
      <formula>1</formula>
    </cfRule>
    <cfRule type="cellIs" dxfId="10" priority="3" operator="less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1:N24"/>
  <sheetViews>
    <sheetView showGridLines="0" zoomScaleNormal="100" workbookViewId="0">
      <selection activeCell="O3" sqref="O3"/>
    </sheetView>
  </sheetViews>
  <sheetFormatPr defaultColWidth="8.7109375" defaultRowHeight="15" x14ac:dyDescent="0.25"/>
  <cols>
    <col min="1" max="1" width="4" customWidth="1"/>
    <col min="2" max="2" width="29.5703125" customWidth="1"/>
    <col min="3" max="10" width="12" customWidth="1"/>
    <col min="11" max="11" width="20" customWidth="1"/>
    <col min="12" max="12" width="14.85546875" customWidth="1"/>
    <col min="13" max="14" width="11" customWidth="1"/>
    <col min="15" max="15" width="4" customWidth="1"/>
  </cols>
  <sheetData>
    <row r="1" spans="2:14" ht="39.75" customHeight="1" x14ac:dyDescent="0.25">
      <c r="B1" s="1" t="s">
        <v>77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2:14" ht="34.5" customHeight="1" x14ac:dyDescent="0.25">
      <c r="B3" s="30" t="s">
        <v>78</v>
      </c>
      <c r="C3" s="30" t="s">
        <v>79</v>
      </c>
      <c r="D3" s="30" t="s">
        <v>80</v>
      </c>
      <c r="E3" s="30" t="s">
        <v>81</v>
      </c>
      <c r="F3" s="30" t="s">
        <v>82</v>
      </c>
      <c r="G3" s="30" t="s">
        <v>83</v>
      </c>
      <c r="H3" s="30" t="s">
        <v>84</v>
      </c>
      <c r="I3" s="30" t="s">
        <v>85</v>
      </c>
      <c r="J3" s="30" t="s">
        <v>86</v>
      </c>
      <c r="K3" s="30" t="s">
        <v>17</v>
      </c>
      <c r="L3" s="30" t="s">
        <v>87</v>
      </c>
      <c r="M3" s="30" t="s">
        <v>88</v>
      </c>
      <c r="N3" s="30" t="s">
        <v>89</v>
      </c>
    </row>
    <row r="4" spans="2:14" ht="16.5" customHeight="1" x14ac:dyDescent="0.25">
      <c r="B4" s="14" t="s">
        <v>90</v>
      </c>
      <c r="C4" s="40" t="s">
        <v>91</v>
      </c>
      <c r="D4" s="40" t="s">
        <v>92</v>
      </c>
      <c r="E4" s="41" t="s">
        <v>91</v>
      </c>
      <c r="F4" s="41" t="s">
        <v>93</v>
      </c>
      <c r="G4" s="42">
        <v>25</v>
      </c>
      <c r="H4" s="18">
        <v>1</v>
      </c>
      <c r="I4" s="18">
        <v>1</v>
      </c>
      <c r="J4" s="43">
        <f t="shared" ref="J4:J23" si="0">ROUND((I4-H4)*G4,0)</f>
        <v>0</v>
      </c>
      <c r="K4" s="44" t="str">
        <f t="shared" ref="K4:K23" si="1">IF(I4&gt;=H4,"On Schedule",IF(I4&gt;=H4-0.1,"Minor Delay","Behind Schedule"))</f>
        <v>On Schedule</v>
      </c>
      <c r="L4" s="14" t="s">
        <v>94</v>
      </c>
      <c r="M4" s="43">
        <f t="shared" ref="M4:M23" si="2">ROUND(G4*(1-I4),0)</f>
        <v>0</v>
      </c>
      <c r="N4" s="32">
        <f t="shared" ref="N4:N23" si="3">IFERROR(I4/H4,1)</f>
        <v>1</v>
      </c>
    </row>
    <row r="5" spans="2:14" ht="16.5" customHeight="1" x14ac:dyDescent="0.25">
      <c r="B5" s="9" t="s">
        <v>95</v>
      </c>
      <c r="C5" s="45" t="s">
        <v>96</v>
      </c>
      <c r="D5" s="45" t="s">
        <v>97</v>
      </c>
      <c r="E5" s="46" t="s">
        <v>96</v>
      </c>
      <c r="F5" s="46" t="s">
        <v>98</v>
      </c>
      <c r="G5" s="47">
        <v>25</v>
      </c>
      <c r="H5" s="23">
        <v>1</v>
      </c>
      <c r="I5" s="23">
        <v>1</v>
      </c>
      <c r="J5" s="48">
        <f t="shared" si="0"/>
        <v>0</v>
      </c>
      <c r="K5" s="49" t="str">
        <f t="shared" si="1"/>
        <v>On Schedule</v>
      </c>
      <c r="L5" s="9" t="s">
        <v>99</v>
      </c>
      <c r="M5" s="48">
        <f t="shared" si="2"/>
        <v>0</v>
      </c>
      <c r="N5" s="34">
        <f t="shared" si="3"/>
        <v>1</v>
      </c>
    </row>
    <row r="6" spans="2:14" ht="16.5" customHeight="1" x14ac:dyDescent="0.25">
      <c r="B6" s="14" t="s">
        <v>100</v>
      </c>
      <c r="C6" s="40" t="s">
        <v>98</v>
      </c>
      <c r="D6" s="40" t="s">
        <v>101</v>
      </c>
      <c r="E6" s="41" t="s">
        <v>102</v>
      </c>
      <c r="F6" s="41" t="s">
        <v>103</v>
      </c>
      <c r="G6" s="42">
        <v>32</v>
      </c>
      <c r="H6" s="18">
        <v>1</v>
      </c>
      <c r="I6" s="18">
        <v>1</v>
      </c>
      <c r="J6" s="43">
        <f t="shared" si="0"/>
        <v>0</v>
      </c>
      <c r="K6" s="44" t="str">
        <f t="shared" si="1"/>
        <v>On Schedule</v>
      </c>
      <c r="L6" s="14" t="s">
        <v>104</v>
      </c>
      <c r="M6" s="43">
        <f t="shared" si="2"/>
        <v>0</v>
      </c>
      <c r="N6" s="32">
        <f t="shared" si="3"/>
        <v>1</v>
      </c>
    </row>
    <row r="7" spans="2:14" ht="16.5" customHeight="1" x14ac:dyDescent="0.25">
      <c r="B7" s="9" t="s">
        <v>105</v>
      </c>
      <c r="C7" s="45" t="s">
        <v>106</v>
      </c>
      <c r="D7" s="45" t="s">
        <v>107</v>
      </c>
      <c r="E7" s="46" t="s">
        <v>103</v>
      </c>
      <c r="F7" s="46" t="s">
        <v>108</v>
      </c>
      <c r="G7" s="47">
        <v>39</v>
      </c>
      <c r="H7" s="23">
        <v>1</v>
      </c>
      <c r="I7" s="23">
        <v>0.95</v>
      </c>
      <c r="J7" s="48">
        <f t="shared" si="0"/>
        <v>-2</v>
      </c>
      <c r="K7" s="49" t="str">
        <f t="shared" si="1"/>
        <v>Minor Delay</v>
      </c>
      <c r="L7" s="9" t="s">
        <v>109</v>
      </c>
      <c r="M7" s="48">
        <f t="shared" si="2"/>
        <v>2</v>
      </c>
      <c r="N7" s="34">
        <f t="shared" si="3"/>
        <v>0.95</v>
      </c>
    </row>
    <row r="8" spans="2:14" ht="16.5" customHeight="1" x14ac:dyDescent="0.25">
      <c r="B8" s="14" t="s">
        <v>110</v>
      </c>
      <c r="C8" s="40" t="s">
        <v>108</v>
      </c>
      <c r="D8" s="40" t="s">
        <v>111</v>
      </c>
      <c r="E8" s="41" t="s">
        <v>112</v>
      </c>
      <c r="F8" s="41"/>
      <c r="G8" s="42">
        <v>25</v>
      </c>
      <c r="H8" s="18">
        <v>1</v>
      </c>
      <c r="I8" s="18">
        <v>0.95</v>
      </c>
      <c r="J8" s="43">
        <f t="shared" si="0"/>
        <v>-1</v>
      </c>
      <c r="K8" s="44" t="str">
        <f t="shared" si="1"/>
        <v>Minor Delay</v>
      </c>
      <c r="L8" s="14" t="s">
        <v>104</v>
      </c>
      <c r="M8" s="43">
        <f t="shared" si="2"/>
        <v>1</v>
      </c>
      <c r="N8" s="32">
        <f t="shared" si="3"/>
        <v>0.95</v>
      </c>
    </row>
    <row r="9" spans="2:14" ht="16.5" customHeight="1" x14ac:dyDescent="0.25">
      <c r="B9" s="9" t="s">
        <v>113</v>
      </c>
      <c r="C9" s="45" t="s">
        <v>114</v>
      </c>
      <c r="D9" s="45" t="s">
        <v>115</v>
      </c>
      <c r="E9" s="46" t="s">
        <v>116</v>
      </c>
      <c r="F9" s="46"/>
      <c r="G9" s="47">
        <v>53</v>
      </c>
      <c r="H9" s="23">
        <v>0.8</v>
      </c>
      <c r="I9" s="23">
        <v>0.72</v>
      </c>
      <c r="J9" s="48">
        <f t="shared" si="0"/>
        <v>-4</v>
      </c>
      <c r="K9" s="49" t="str">
        <f t="shared" si="1"/>
        <v>Minor Delay</v>
      </c>
      <c r="L9" s="9" t="s">
        <v>117</v>
      </c>
      <c r="M9" s="48">
        <f t="shared" si="2"/>
        <v>15</v>
      </c>
      <c r="N9" s="34">
        <f t="shared" si="3"/>
        <v>0.89999999999999991</v>
      </c>
    </row>
    <row r="10" spans="2:14" ht="16.5" customHeight="1" x14ac:dyDescent="0.25">
      <c r="B10" s="14" t="s">
        <v>118</v>
      </c>
      <c r="C10" s="40" t="s">
        <v>119</v>
      </c>
      <c r="D10" s="40" t="s">
        <v>120</v>
      </c>
      <c r="E10" s="41" t="s">
        <v>121</v>
      </c>
      <c r="F10" s="41"/>
      <c r="G10" s="42">
        <v>25</v>
      </c>
      <c r="H10" s="18">
        <v>0.9</v>
      </c>
      <c r="I10" s="18">
        <v>0.82</v>
      </c>
      <c r="J10" s="43">
        <f t="shared" si="0"/>
        <v>-2</v>
      </c>
      <c r="K10" s="44" t="str">
        <f t="shared" si="1"/>
        <v>Minor Delay</v>
      </c>
      <c r="L10" s="14" t="s">
        <v>122</v>
      </c>
      <c r="M10" s="43">
        <f t="shared" si="2"/>
        <v>5</v>
      </c>
      <c r="N10" s="32">
        <f t="shared" si="3"/>
        <v>0.91111111111111098</v>
      </c>
    </row>
    <row r="11" spans="2:14" ht="16.5" customHeight="1" x14ac:dyDescent="0.25">
      <c r="B11" s="9" t="s">
        <v>123</v>
      </c>
      <c r="C11" s="45" t="s">
        <v>124</v>
      </c>
      <c r="D11" s="45" t="s">
        <v>125</v>
      </c>
      <c r="E11" s="46" t="s">
        <v>126</v>
      </c>
      <c r="F11" s="46"/>
      <c r="G11" s="47">
        <v>25</v>
      </c>
      <c r="H11" s="23">
        <v>0.7</v>
      </c>
      <c r="I11" s="23">
        <v>0.62</v>
      </c>
      <c r="J11" s="48">
        <f t="shared" si="0"/>
        <v>-2</v>
      </c>
      <c r="K11" s="49" t="str">
        <f t="shared" si="1"/>
        <v>Minor Delay</v>
      </c>
      <c r="L11" s="9" t="s">
        <v>127</v>
      </c>
      <c r="M11" s="48">
        <f t="shared" si="2"/>
        <v>10</v>
      </c>
      <c r="N11" s="34">
        <f t="shared" si="3"/>
        <v>0.88571428571428579</v>
      </c>
    </row>
    <row r="12" spans="2:14" ht="16.5" customHeight="1" x14ac:dyDescent="0.25">
      <c r="B12" s="14" t="s">
        <v>128</v>
      </c>
      <c r="C12" s="40" t="s">
        <v>129</v>
      </c>
      <c r="D12" s="40" t="s">
        <v>125</v>
      </c>
      <c r="E12" s="41" t="s">
        <v>130</v>
      </c>
      <c r="F12" s="41"/>
      <c r="G12" s="42">
        <v>72</v>
      </c>
      <c r="H12" s="18">
        <v>0.75</v>
      </c>
      <c r="I12" s="18">
        <v>0.68</v>
      </c>
      <c r="J12" s="43">
        <f t="shared" si="0"/>
        <v>-5</v>
      </c>
      <c r="K12" s="44" t="str">
        <f t="shared" si="1"/>
        <v>Minor Delay</v>
      </c>
      <c r="L12" s="14" t="s">
        <v>131</v>
      </c>
      <c r="M12" s="43">
        <f t="shared" si="2"/>
        <v>23</v>
      </c>
      <c r="N12" s="32">
        <f t="shared" si="3"/>
        <v>0.90666666666666673</v>
      </c>
    </row>
    <row r="13" spans="2:14" ht="16.5" customHeight="1" x14ac:dyDescent="0.25">
      <c r="B13" s="9" t="s">
        <v>132</v>
      </c>
      <c r="C13" s="45" t="s">
        <v>129</v>
      </c>
      <c r="D13" s="45" t="s">
        <v>125</v>
      </c>
      <c r="E13" s="46" t="s">
        <v>130</v>
      </c>
      <c r="F13" s="46"/>
      <c r="G13" s="47">
        <v>72</v>
      </c>
      <c r="H13" s="23">
        <v>0.75</v>
      </c>
      <c r="I13" s="23">
        <v>0.65</v>
      </c>
      <c r="J13" s="48">
        <f t="shared" si="0"/>
        <v>-7</v>
      </c>
      <c r="K13" s="49" t="str">
        <f t="shared" si="1"/>
        <v>Minor Delay</v>
      </c>
      <c r="L13" s="9" t="s">
        <v>133</v>
      </c>
      <c r="M13" s="48">
        <f t="shared" si="2"/>
        <v>25</v>
      </c>
      <c r="N13" s="34">
        <f t="shared" si="3"/>
        <v>0.8666666666666667</v>
      </c>
    </row>
    <row r="14" spans="2:14" ht="16.5" customHeight="1" x14ac:dyDescent="0.25">
      <c r="B14" s="14" t="s">
        <v>134</v>
      </c>
      <c r="C14" s="40" t="s">
        <v>135</v>
      </c>
      <c r="D14" s="40" t="s">
        <v>136</v>
      </c>
      <c r="E14" s="41" t="s">
        <v>137</v>
      </c>
      <c r="F14" s="41"/>
      <c r="G14" s="42">
        <v>72</v>
      </c>
      <c r="H14" s="18">
        <v>0.65</v>
      </c>
      <c r="I14" s="18">
        <v>0.57999999999999996</v>
      </c>
      <c r="J14" s="43">
        <f t="shared" si="0"/>
        <v>-5</v>
      </c>
      <c r="K14" s="44" t="str">
        <f t="shared" si="1"/>
        <v>Minor Delay</v>
      </c>
      <c r="L14" s="14" t="s">
        <v>138</v>
      </c>
      <c r="M14" s="43">
        <f t="shared" si="2"/>
        <v>30</v>
      </c>
      <c r="N14" s="32">
        <f t="shared" si="3"/>
        <v>0.89230769230769225</v>
      </c>
    </row>
    <row r="15" spans="2:14" ht="16.5" customHeight="1" x14ac:dyDescent="0.25">
      <c r="B15" s="9" t="s">
        <v>139</v>
      </c>
      <c r="C15" s="45" t="s">
        <v>140</v>
      </c>
      <c r="D15" s="45" t="s">
        <v>141</v>
      </c>
      <c r="E15" s="46" t="s">
        <v>142</v>
      </c>
      <c r="F15" s="46"/>
      <c r="G15" s="47">
        <v>46</v>
      </c>
      <c r="H15" s="23">
        <v>0.35</v>
      </c>
      <c r="I15" s="23">
        <v>0.28000000000000003</v>
      </c>
      <c r="J15" s="48">
        <f t="shared" si="0"/>
        <v>-3</v>
      </c>
      <c r="K15" s="49" t="str">
        <f t="shared" si="1"/>
        <v>Minor Delay</v>
      </c>
      <c r="L15" s="9" t="s">
        <v>143</v>
      </c>
      <c r="M15" s="48">
        <f t="shared" si="2"/>
        <v>33</v>
      </c>
      <c r="N15" s="34">
        <f t="shared" si="3"/>
        <v>0.80000000000000016</v>
      </c>
    </row>
    <row r="16" spans="2:14" ht="16.5" customHeight="1" x14ac:dyDescent="0.25">
      <c r="B16" s="14" t="s">
        <v>144</v>
      </c>
      <c r="C16" s="40" t="s">
        <v>145</v>
      </c>
      <c r="D16" s="40" t="s">
        <v>146</v>
      </c>
      <c r="E16" s="41"/>
      <c r="F16" s="41"/>
      <c r="G16" s="42">
        <v>32</v>
      </c>
      <c r="H16" s="18">
        <v>0.1</v>
      </c>
      <c r="I16" s="18">
        <v>0.05</v>
      </c>
      <c r="J16" s="43">
        <f t="shared" si="0"/>
        <v>-2</v>
      </c>
      <c r="K16" s="44" t="str">
        <f t="shared" si="1"/>
        <v>Minor Delay</v>
      </c>
      <c r="L16" s="14" t="s">
        <v>147</v>
      </c>
      <c r="M16" s="43">
        <f t="shared" si="2"/>
        <v>30</v>
      </c>
      <c r="N16" s="32">
        <f t="shared" si="3"/>
        <v>0.5</v>
      </c>
    </row>
    <row r="17" spans="2:14" ht="16.5" customHeight="1" x14ac:dyDescent="0.25">
      <c r="B17" s="9" t="s">
        <v>148</v>
      </c>
      <c r="C17" s="45" t="s">
        <v>149</v>
      </c>
      <c r="D17" s="45" t="s">
        <v>150</v>
      </c>
      <c r="E17" s="46"/>
      <c r="F17" s="46"/>
      <c r="G17" s="47">
        <v>32</v>
      </c>
      <c r="H17" s="23">
        <v>0.05</v>
      </c>
      <c r="I17" s="23">
        <v>0.02</v>
      </c>
      <c r="J17" s="48">
        <f t="shared" si="0"/>
        <v>-1</v>
      </c>
      <c r="K17" s="49" t="str">
        <f t="shared" si="1"/>
        <v>Minor Delay</v>
      </c>
      <c r="L17" s="9" t="s">
        <v>151</v>
      </c>
      <c r="M17" s="48">
        <f t="shared" si="2"/>
        <v>31</v>
      </c>
      <c r="N17" s="34">
        <f t="shared" si="3"/>
        <v>0.39999999999999997</v>
      </c>
    </row>
    <row r="18" spans="2:14" ht="16.5" customHeight="1" x14ac:dyDescent="0.25">
      <c r="B18" s="14" t="s">
        <v>152</v>
      </c>
      <c r="C18" s="40" t="s">
        <v>153</v>
      </c>
      <c r="D18" s="40" t="s">
        <v>150</v>
      </c>
      <c r="E18" s="41"/>
      <c r="F18" s="41"/>
      <c r="G18" s="42">
        <v>25</v>
      </c>
      <c r="H18" s="18">
        <v>0.05</v>
      </c>
      <c r="I18" s="18">
        <v>0.02</v>
      </c>
      <c r="J18" s="43">
        <f t="shared" si="0"/>
        <v>-1</v>
      </c>
      <c r="K18" s="44" t="str">
        <f t="shared" si="1"/>
        <v>Minor Delay</v>
      </c>
      <c r="L18" s="14" t="s">
        <v>154</v>
      </c>
      <c r="M18" s="43">
        <f t="shared" si="2"/>
        <v>25</v>
      </c>
      <c r="N18" s="32">
        <f t="shared" si="3"/>
        <v>0.39999999999999997</v>
      </c>
    </row>
    <row r="19" spans="2:14" ht="16.5" customHeight="1" x14ac:dyDescent="0.25">
      <c r="B19" s="9" t="s">
        <v>155</v>
      </c>
      <c r="C19" s="45" t="s">
        <v>156</v>
      </c>
      <c r="D19" s="45" t="s">
        <v>157</v>
      </c>
      <c r="E19" s="46"/>
      <c r="F19" s="46"/>
      <c r="G19" s="47">
        <v>25</v>
      </c>
      <c r="H19" s="23">
        <v>0</v>
      </c>
      <c r="I19" s="23">
        <v>0</v>
      </c>
      <c r="J19" s="48">
        <f t="shared" si="0"/>
        <v>0</v>
      </c>
      <c r="K19" s="49" t="str">
        <f t="shared" si="1"/>
        <v>On Schedule</v>
      </c>
      <c r="L19" s="9" t="s">
        <v>158</v>
      </c>
      <c r="M19" s="48">
        <f t="shared" si="2"/>
        <v>25</v>
      </c>
      <c r="N19" s="34">
        <f t="shared" si="3"/>
        <v>1</v>
      </c>
    </row>
    <row r="20" spans="2:14" ht="16.5" customHeight="1" x14ac:dyDescent="0.25">
      <c r="B20" s="14" t="s">
        <v>159</v>
      </c>
      <c r="C20" s="40" t="s">
        <v>160</v>
      </c>
      <c r="D20" s="40" t="s">
        <v>136</v>
      </c>
      <c r="E20" s="41" t="s">
        <v>161</v>
      </c>
      <c r="F20" s="41"/>
      <c r="G20" s="42">
        <v>32</v>
      </c>
      <c r="H20" s="18">
        <v>0.85</v>
      </c>
      <c r="I20" s="18">
        <v>0.8</v>
      </c>
      <c r="J20" s="43">
        <f t="shared" si="0"/>
        <v>-2</v>
      </c>
      <c r="K20" s="44" t="str">
        <f t="shared" si="1"/>
        <v>Minor Delay</v>
      </c>
      <c r="L20" s="14" t="s">
        <v>162</v>
      </c>
      <c r="M20" s="43">
        <f t="shared" si="2"/>
        <v>6</v>
      </c>
      <c r="N20" s="32">
        <f t="shared" si="3"/>
        <v>0.94117647058823539</v>
      </c>
    </row>
    <row r="21" spans="2:14" ht="16.5" customHeight="1" x14ac:dyDescent="0.25">
      <c r="B21" s="9" t="s">
        <v>163</v>
      </c>
      <c r="C21" s="45" t="s">
        <v>164</v>
      </c>
      <c r="D21" s="45" t="s">
        <v>165</v>
      </c>
      <c r="E21" s="46"/>
      <c r="F21" s="46"/>
      <c r="G21" s="47">
        <v>25</v>
      </c>
      <c r="H21" s="23">
        <v>0</v>
      </c>
      <c r="I21" s="23">
        <v>0</v>
      </c>
      <c r="J21" s="48">
        <f t="shared" si="0"/>
        <v>0</v>
      </c>
      <c r="K21" s="49" t="str">
        <f t="shared" si="1"/>
        <v>On Schedule</v>
      </c>
      <c r="L21" s="9" t="s">
        <v>166</v>
      </c>
      <c r="M21" s="48">
        <f t="shared" si="2"/>
        <v>25</v>
      </c>
      <c r="N21" s="34">
        <f t="shared" si="3"/>
        <v>1</v>
      </c>
    </row>
    <row r="22" spans="2:14" ht="16.5" customHeight="1" x14ac:dyDescent="0.25">
      <c r="B22" s="14" t="s">
        <v>167</v>
      </c>
      <c r="C22" s="40" t="s">
        <v>168</v>
      </c>
      <c r="D22" s="40" t="s">
        <v>169</v>
      </c>
      <c r="E22" s="41"/>
      <c r="F22" s="41"/>
      <c r="G22" s="42">
        <v>18</v>
      </c>
      <c r="H22" s="18">
        <v>0</v>
      </c>
      <c r="I22" s="18">
        <v>0</v>
      </c>
      <c r="J22" s="43">
        <f t="shared" si="0"/>
        <v>0</v>
      </c>
      <c r="K22" s="44" t="str">
        <f t="shared" si="1"/>
        <v>On Schedule</v>
      </c>
      <c r="L22" s="14" t="s">
        <v>94</v>
      </c>
      <c r="M22" s="43">
        <f t="shared" si="2"/>
        <v>18</v>
      </c>
      <c r="N22" s="32">
        <f t="shared" si="3"/>
        <v>1</v>
      </c>
    </row>
    <row r="23" spans="2:14" ht="16.5" customHeight="1" x14ac:dyDescent="0.25">
      <c r="B23" s="9" t="s">
        <v>170</v>
      </c>
      <c r="C23" s="45" t="s">
        <v>171</v>
      </c>
      <c r="D23" s="45" t="s">
        <v>172</v>
      </c>
      <c r="E23" s="46"/>
      <c r="F23" s="46"/>
      <c r="G23" s="47">
        <v>5</v>
      </c>
      <c r="H23" s="23">
        <v>0</v>
      </c>
      <c r="I23" s="23">
        <v>0</v>
      </c>
      <c r="J23" s="48">
        <f t="shared" si="0"/>
        <v>0</v>
      </c>
      <c r="K23" s="49" t="str">
        <f t="shared" si="1"/>
        <v>On Schedule</v>
      </c>
      <c r="L23" s="9" t="s">
        <v>94</v>
      </c>
      <c r="M23" s="48">
        <f t="shared" si="2"/>
        <v>5</v>
      </c>
      <c r="N23" s="34">
        <f t="shared" si="3"/>
        <v>1</v>
      </c>
    </row>
    <row r="24" spans="2:14" ht="15" customHeight="1" x14ac:dyDescent="0.25">
      <c r="B24" s="27" t="s">
        <v>173</v>
      </c>
      <c r="H24" s="50">
        <f>AVERAGE(H4:H23)</f>
        <v>0.5475000000000001</v>
      </c>
      <c r="I24" s="50">
        <f>AVERAGE(I4:I23)</f>
        <v>0.50700000000000001</v>
      </c>
      <c r="N24" s="35">
        <f>AVERAGE(N4:N23)</f>
        <v>0.86518214465273302</v>
      </c>
    </row>
  </sheetData>
  <mergeCells count="1">
    <mergeCell ref="B1:N1"/>
  </mergeCells>
  <conditionalFormatting sqref="K4:K23">
    <cfRule type="cellIs" dxfId="9" priority="2" operator="equal">
      <formula>"On Schedule"</formula>
    </cfRule>
    <cfRule type="cellIs" dxfId="8" priority="3" operator="equal">
      <formula>"Minor Delay"</formula>
    </cfRule>
    <cfRule type="cellIs" dxfId="7" priority="4" operator="equal">
      <formula>"Behind Schedule"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B1:M13"/>
  <sheetViews>
    <sheetView showGridLines="0" zoomScaleNormal="100" workbookViewId="0">
      <selection activeCell="C22" sqref="C22"/>
    </sheetView>
  </sheetViews>
  <sheetFormatPr defaultColWidth="8.7109375" defaultRowHeight="15" x14ac:dyDescent="0.25"/>
  <cols>
    <col min="1" max="1" width="4" customWidth="1"/>
    <col min="2" max="2" width="11.28515625" customWidth="1"/>
    <col min="3" max="3" width="55.140625" customWidth="1"/>
    <col min="4" max="4" width="16.28515625" customWidth="1"/>
    <col min="5" max="5" width="20.85546875" customWidth="1"/>
    <col min="6" max="7" width="12" customWidth="1"/>
    <col min="8" max="8" width="14" customWidth="1"/>
    <col min="9" max="9" width="10" customWidth="1"/>
    <col min="10" max="10" width="12" customWidth="1"/>
    <col min="11" max="11" width="14" customWidth="1"/>
    <col min="12" max="12" width="22" customWidth="1"/>
    <col min="13" max="13" width="32.28515625" customWidth="1"/>
  </cols>
  <sheetData>
    <row r="1" spans="2:13" ht="39.75" customHeight="1" x14ac:dyDescent="0.25">
      <c r="B1" s="1" t="s">
        <v>174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2:13" ht="34.5" customHeight="1" x14ac:dyDescent="0.25">
      <c r="B3" s="30" t="s">
        <v>175</v>
      </c>
      <c r="C3" s="30" t="s">
        <v>176</v>
      </c>
      <c r="D3" s="30" t="s">
        <v>177</v>
      </c>
      <c r="E3" s="30" t="s">
        <v>178</v>
      </c>
      <c r="F3" s="30" t="s">
        <v>179</v>
      </c>
      <c r="G3" s="30" t="s">
        <v>180</v>
      </c>
      <c r="H3" s="30" t="s">
        <v>181</v>
      </c>
      <c r="I3" s="30" t="s">
        <v>182</v>
      </c>
      <c r="J3" s="30" t="s">
        <v>183</v>
      </c>
      <c r="K3" s="30" t="s">
        <v>17</v>
      </c>
      <c r="L3" s="30" t="s">
        <v>184</v>
      </c>
      <c r="M3" s="30" t="s">
        <v>88</v>
      </c>
    </row>
    <row r="4" spans="2:13" ht="16.5" customHeight="1" x14ac:dyDescent="0.25">
      <c r="B4" s="44" t="s">
        <v>185</v>
      </c>
      <c r="C4" s="14" t="s">
        <v>186</v>
      </c>
      <c r="D4" s="44" t="s">
        <v>187</v>
      </c>
      <c r="E4" s="44" t="s">
        <v>188</v>
      </c>
      <c r="F4" s="40" t="s">
        <v>189</v>
      </c>
      <c r="G4" s="40" t="s">
        <v>93</v>
      </c>
      <c r="H4" s="41" t="s">
        <v>190</v>
      </c>
      <c r="I4" s="43">
        <f t="shared" ref="I4:I13" ca="1" si="0">IF(H4&lt;&gt;"",H4-F4,TODAY()-F4)</f>
        <v>5</v>
      </c>
      <c r="J4" s="44" t="s">
        <v>191</v>
      </c>
      <c r="K4" s="44" t="s">
        <v>192</v>
      </c>
      <c r="L4" s="16">
        <v>0</v>
      </c>
      <c r="M4" s="51" t="s">
        <v>193</v>
      </c>
    </row>
    <row r="5" spans="2:13" ht="16.5" customHeight="1" x14ac:dyDescent="0.25">
      <c r="B5" s="49" t="s">
        <v>194</v>
      </c>
      <c r="C5" s="9" t="s">
        <v>195</v>
      </c>
      <c r="D5" s="49" t="s">
        <v>104</v>
      </c>
      <c r="E5" s="49" t="s">
        <v>188</v>
      </c>
      <c r="F5" s="45" t="s">
        <v>196</v>
      </c>
      <c r="G5" s="45" t="s">
        <v>197</v>
      </c>
      <c r="H5" s="46" t="s">
        <v>198</v>
      </c>
      <c r="I5" s="48">
        <f t="shared" ca="1" si="0"/>
        <v>6</v>
      </c>
      <c r="J5" s="49" t="s">
        <v>199</v>
      </c>
      <c r="K5" s="49" t="s">
        <v>192</v>
      </c>
      <c r="L5" s="21">
        <v>0</v>
      </c>
      <c r="M5" s="52" t="s">
        <v>200</v>
      </c>
    </row>
    <row r="6" spans="2:13" ht="16.5" customHeight="1" x14ac:dyDescent="0.25">
      <c r="B6" s="44" t="s">
        <v>201</v>
      </c>
      <c r="C6" s="14" t="s">
        <v>202</v>
      </c>
      <c r="D6" s="44" t="s">
        <v>109</v>
      </c>
      <c r="E6" s="44" t="s">
        <v>188</v>
      </c>
      <c r="F6" s="40" t="s">
        <v>203</v>
      </c>
      <c r="G6" s="40" t="s">
        <v>204</v>
      </c>
      <c r="H6" s="41" t="s">
        <v>205</v>
      </c>
      <c r="I6" s="43">
        <f t="shared" ca="1" si="0"/>
        <v>5</v>
      </c>
      <c r="J6" s="44" t="s">
        <v>191</v>
      </c>
      <c r="K6" s="44" t="s">
        <v>192</v>
      </c>
      <c r="L6" s="16">
        <v>2450</v>
      </c>
      <c r="M6" s="51" t="s">
        <v>206</v>
      </c>
    </row>
    <row r="7" spans="2:13" ht="16.5" customHeight="1" x14ac:dyDescent="0.25">
      <c r="B7" s="49" t="s">
        <v>207</v>
      </c>
      <c r="C7" s="9" t="s">
        <v>208</v>
      </c>
      <c r="D7" s="49" t="s">
        <v>117</v>
      </c>
      <c r="E7" s="49" t="s">
        <v>209</v>
      </c>
      <c r="F7" s="45" t="s">
        <v>210</v>
      </c>
      <c r="G7" s="45" t="s">
        <v>211</v>
      </c>
      <c r="H7" s="46" t="s">
        <v>212</v>
      </c>
      <c r="I7" s="48">
        <f t="shared" ca="1" si="0"/>
        <v>5</v>
      </c>
      <c r="J7" s="49" t="s">
        <v>199</v>
      </c>
      <c r="K7" s="49" t="s">
        <v>192</v>
      </c>
      <c r="L7" s="21">
        <v>0</v>
      </c>
      <c r="M7" s="52" t="s">
        <v>213</v>
      </c>
    </row>
    <row r="8" spans="2:13" ht="16.5" customHeight="1" x14ac:dyDescent="0.25">
      <c r="B8" s="44" t="s">
        <v>214</v>
      </c>
      <c r="C8" s="14" t="s">
        <v>215</v>
      </c>
      <c r="D8" s="44" t="s">
        <v>133</v>
      </c>
      <c r="E8" s="44" t="s">
        <v>209</v>
      </c>
      <c r="F8" s="40" t="s">
        <v>216</v>
      </c>
      <c r="G8" s="40" t="s">
        <v>217</v>
      </c>
      <c r="H8" s="41" t="s">
        <v>218</v>
      </c>
      <c r="I8" s="43">
        <f t="shared" ca="1" si="0"/>
        <v>6</v>
      </c>
      <c r="J8" s="44" t="s">
        <v>191</v>
      </c>
      <c r="K8" s="44" t="s">
        <v>192</v>
      </c>
      <c r="L8" s="16">
        <v>1800</v>
      </c>
      <c r="M8" s="51" t="s">
        <v>219</v>
      </c>
    </row>
    <row r="9" spans="2:13" ht="16.5" customHeight="1" x14ac:dyDescent="0.25">
      <c r="B9" s="49" t="s">
        <v>220</v>
      </c>
      <c r="C9" s="9" t="s">
        <v>221</v>
      </c>
      <c r="D9" s="49" t="s">
        <v>127</v>
      </c>
      <c r="E9" s="49" t="s">
        <v>222</v>
      </c>
      <c r="F9" s="45" t="s">
        <v>223</v>
      </c>
      <c r="G9" s="45" t="s">
        <v>224</v>
      </c>
      <c r="H9" s="46"/>
      <c r="I9" s="48">
        <f t="shared" ca="1" si="0"/>
        <v>235</v>
      </c>
      <c r="J9" s="49" t="s">
        <v>191</v>
      </c>
      <c r="K9" s="49" t="s">
        <v>225</v>
      </c>
      <c r="L9" s="21">
        <v>0</v>
      </c>
      <c r="M9" s="52" t="s">
        <v>226</v>
      </c>
    </row>
    <row r="10" spans="2:13" ht="16.5" customHeight="1" x14ac:dyDescent="0.25">
      <c r="B10" s="44" t="s">
        <v>227</v>
      </c>
      <c r="C10" s="14" t="s">
        <v>228</v>
      </c>
      <c r="D10" s="44" t="s">
        <v>131</v>
      </c>
      <c r="E10" s="44" t="s">
        <v>229</v>
      </c>
      <c r="F10" s="40" t="s">
        <v>120</v>
      </c>
      <c r="G10" s="40" t="s">
        <v>115</v>
      </c>
      <c r="H10" s="41"/>
      <c r="I10" s="43">
        <f t="shared" ca="1" si="0"/>
        <v>234</v>
      </c>
      <c r="J10" s="44" t="s">
        <v>191</v>
      </c>
      <c r="K10" s="44" t="s">
        <v>225</v>
      </c>
      <c r="L10" s="16">
        <v>0</v>
      </c>
      <c r="M10" s="51" t="s">
        <v>230</v>
      </c>
    </row>
    <row r="11" spans="2:13" ht="16.5" customHeight="1" x14ac:dyDescent="0.25">
      <c r="B11" s="49" t="s">
        <v>231</v>
      </c>
      <c r="C11" s="9" t="s">
        <v>232</v>
      </c>
      <c r="D11" s="49" t="s">
        <v>143</v>
      </c>
      <c r="E11" s="49" t="s">
        <v>222</v>
      </c>
      <c r="F11" s="45" t="s">
        <v>160</v>
      </c>
      <c r="G11" s="45" t="s">
        <v>140</v>
      </c>
      <c r="H11" s="46"/>
      <c r="I11" s="48">
        <f t="shared" ca="1" si="0"/>
        <v>231</v>
      </c>
      <c r="J11" s="49" t="s">
        <v>199</v>
      </c>
      <c r="K11" s="49" t="s">
        <v>225</v>
      </c>
      <c r="L11" s="21">
        <v>0</v>
      </c>
      <c r="M11" s="52" t="s">
        <v>233</v>
      </c>
    </row>
    <row r="12" spans="2:13" ht="16.5" customHeight="1" x14ac:dyDescent="0.25">
      <c r="B12" s="44" t="s">
        <v>234</v>
      </c>
      <c r="C12" s="14" t="s">
        <v>235</v>
      </c>
      <c r="D12" s="44" t="s">
        <v>147</v>
      </c>
      <c r="E12" s="44" t="s">
        <v>236</v>
      </c>
      <c r="F12" s="40" t="s">
        <v>237</v>
      </c>
      <c r="G12" s="40" t="s">
        <v>238</v>
      </c>
      <c r="H12" s="41"/>
      <c r="I12" s="43">
        <f t="shared" ca="1" si="0"/>
        <v>230</v>
      </c>
      <c r="J12" s="44" t="s">
        <v>239</v>
      </c>
      <c r="K12" s="44" t="s">
        <v>225</v>
      </c>
      <c r="L12" s="16">
        <v>0</v>
      </c>
      <c r="M12" s="51" t="s">
        <v>240</v>
      </c>
    </row>
    <row r="13" spans="2:13" ht="16.5" customHeight="1" x14ac:dyDescent="0.25">
      <c r="B13" s="49" t="s">
        <v>241</v>
      </c>
      <c r="C13" s="9" t="s">
        <v>242</v>
      </c>
      <c r="D13" s="49" t="s">
        <v>162</v>
      </c>
      <c r="E13" s="49" t="s">
        <v>222</v>
      </c>
      <c r="F13" s="45" t="s">
        <v>161</v>
      </c>
      <c r="G13" s="45" t="s">
        <v>243</v>
      </c>
      <c r="H13" s="46"/>
      <c r="I13" s="48">
        <f t="shared" ca="1" si="0"/>
        <v>229</v>
      </c>
      <c r="J13" s="49" t="s">
        <v>199</v>
      </c>
      <c r="K13" s="49" t="s">
        <v>225</v>
      </c>
      <c r="L13" s="21">
        <v>0</v>
      </c>
      <c r="M13" s="52" t="s">
        <v>244</v>
      </c>
    </row>
  </sheetData>
  <mergeCells count="1">
    <mergeCell ref="B1:L1"/>
  </mergeCells>
  <conditionalFormatting sqref="J4:J13">
    <cfRule type="cellIs" dxfId="6" priority="4" operator="equal">
      <formula>"High"</formula>
    </cfRule>
  </conditionalFormatting>
  <conditionalFormatting sqref="K4:K13">
    <cfRule type="cellIs" dxfId="5" priority="2" operator="equal">
      <formula>"Open"</formula>
    </cfRule>
    <cfRule type="cellIs" dxfId="4" priority="3" operator="equal">
      <formula>"Closed"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K18"/>
  <sheetViews>
    <sheetView showGridLines="0" zoomScaleNormal="100" workbookViewId="0">
      <selection activeCell="C24" sqref="C24"/>
    </sheetView>
  </sheetViews>
  <sheetFormatPr defaultColWidth="8.7109375" defaultRowHeight="15" x14ac:dyDescent="0.25"/>
  <cols>
    <col min="1" max="1" width="4" customWidth="1"/>
    <col min="2" max="2" width="7" customWidth="1"/>
    <col min="3" max="3" width="39.85546875" customWidth="1"/>
    <col min="4" max="7" width="14" customWidth="1"/>
    <col min="8" max="8" width="24.42578125" customWidth="1"/>
    <col min="9" max="9" width="14" customWidth="1"/>
    <col min="10" max="10" width="22" customWidth="1"/>
    <col min="11" max="11" width="32.5703125" customWidth="1"/>
  </cols>
  <sheetData>
    <row r="1" spans="2:11" ht="39.75" customHeight="1" x14ac:dyDescent="0.25">
      <c r="B1" s="1" t="s">
        <v>245</v>
      </c>
      <c r="C1" s="1"/>
      <c r="D1" s="1"/>
      <c r="E1" s="1"/>
      <c r="F1" s="1"/>
      <c r="G1" s="1"/>
      <c r="H1" s="1"/>
      <c r="I1" s="1"/>
      <c r="J1" s="1"/>
    </row>
    <row r="3" spans="2:11" ht="34.5" customHeight="1" x14ac:dyDescent="0.25">
      <c r="B3" s="30" t="s">
        <v>246</v>
      </c>
      <c r="C3" s="30" t="s">
        <v>247</v>
      </c>
      <c r="D3" s="30" t="s">
        <v>177</v>
      </c>
      <c r="E3" s="30" t="s">
        <v>179</v>
      </c>
      <c r="F3" s="30" t="s">
        <v>180</v>
      </c>
      <c r="G3" s="30" t="s">
        <v>248</v>
      </c>
      <c r="H3" s="30" t="s">
        <v>17</v>
      </c>
      <c r="I3" s="30" t="s">
        <v>249</v>
      </c>
      <c r="J3" s="30" t="s">
        <v>250</v>
      </c>
      <c r="K3" s="30" t="s">
        <v>88</v>
      </c>
    </row>
    <row r="4" spans="2:11" ht="16.5" customHeight="1" x14ac:dyDescent="0.25">
      <c r="B4" s="44" t="s">
        <v>251</v>
      </c>
      <c r="C4" s="14" t="s">
        <v>252</v>
      </c>
      <c r="D4" s="44" t="s">
        <v>104</v>
      </c>
      <c r="E4" s="40" t="s">
        <v>190</v>
      </c>
      <c r="F4" s="40" t="s">
        <v>96</v>
      </c>
      <c r="G4" s="41" t="s">
        <v>253</v>
      </c>
      <c r="H4" s="44" t="s">
        <v>254</v>
      </c>
      <c r="I4" s="44" t="s">
        <v>255</v>
      </c>
      <c r="J4" s="44" t="s">
        <v>256</v>
      </c>
      <c r="K4" s="14" t="s">
        <v>257</v>
      </c>
    </row>
    <row r="5" spans="2:11" ht="16.5" customHeight="1" x14ac:dyDescent="0.25">
      <c r="B5" s="49" t="s">
        <v>258</v>
      </c>
      <c r="C5" s="9" t="s">
        <v>259</v>
      </c>
      <c r="D5" s="49" t="s">
        <v>104</v>
      </c>
      <c r="E5" s="45" t="s">
        <v>190</v>
      </c>
      <c r="F5" s="45" t="s">
        <v>96</v>
      </c>
      <c r="G5" s="46" t="s">
        <v>260</v>
      </c>
      <c r="H5" s="49" t="s">
        <v>254</v>
      </c>
      <c r="I5" s="49" t="s">
        <v>255</v>
      </c>
      <c r="J5" s="49" t="s">
        <v>256</v>
      </c>
      <c r="K5" s="9" t="s">
        <v>261</v>
      </c>
    </row>
    <row r="6" spans="2:11" ht="16.5" customHeight="1" x14ac:dyDescent="0.25">
      <c r="B6" s="44" t="s">
        <v>262</v>
      </c>
      <c r="C6" s="14" t="s">
        <v>263</v>
      </c>
      <c r="D6" s="44" t="s">
        <v>109</v>
      </c>
      <c r="E6" s="40" t="s">
        <v>264</v>
      </c>
      <c r="F6" s="40" t="s">
        <v>265</v>
      </c>
      <c r="G6" s="41" t="s">
        <v>266</v>
      </c>
      <c r="H6" s="44" t="s">
        <v>254</v>
      </c>
      <c r="I6" s="44" t="s">
        <v>255</v>
      </c>
      <c r="J6" s="44" t="s">
        <v>256</v>
      </c>
      <c r="K6" s="14" t="s">
        <v>257</v>
      </c>
    </row>
    <row r="7" spans="2:11" ht="16.5" customHeight="1" x14ac:dyDescent="0.25">
      <c r="B7" s="49" t="s">
        <v>267</v>
      </c>
      <c r="C7" s="9" t="s">
        <v>268</v>
      </c>
      <c r="D7" s="49" t="s">
        <v>109</v>
      </c>
      <c r="E7" s="45" t="s">
        <v>269</v>
      </c>
      <c r="F7" s="45" t="s">
        <v>270</v>
      </c>
      <c r="G7" s="46" t="s">
        <v>271</v>
      </c>
      <c r="H7" s="49" t="s">
        <v>272</v>
      </c>
      <c r="I7" s="49" t="s">
        <v>273</v>
      </c>
      <c r="J7" s="49" t="s">
        <v>256</v>
      </c>
      <c r="K7" s="9" t="s">
        <v>274</v>
      </c>
    </row>
    <row r="8" spans="2:11" ht="16.5" customHeight="1" x14ac:dyDescent="0.25">
      <c r="B8" s="44" t="s">
        <v>275</v>
      </c>
      <c r="C8" s="14" t="s">
        <v>276</v>
      </c>
      <c r="D8" s="44" t="s">
        <v>117</v>
      </c>
      <c r="E8" s="40" t="s">
        <v>277</v>
      </c>
      <c r="F8" s="40" t="s">
        <v>108</v>
      </c>
      <c r="G8" s="41" t="s">
        <v>107</v>
      </c>
      <c r="H8" s="44" t="s">
        <v>254</v>
      </c>
      <c r="I8" s="44" t="s">
        <v>255</v>
      </c>
      <c r="J8" s="44" t="s">
        <v>256</v>
      </c>
      <c r="K8" s="14" t="s">
        <v>278</v>
      </c>
    </row>
    <row r="9" spans="2:11" ht="16.5" customHeight="1" x14ac:dyDescent="0.25">
      <c r="B9" s="49" t="s">
        <v>279</v>
      </c>
      <c r="C9" s="9" t="s">
        <v>280</v>
      </c>
      <c r="D9" s="49" t="s">
        <v>122</v>
      </c>
      <c r="E9" s="45" t="s">
        <v>108</v>
      </c>
      <c r="F9" s="45" t="s">
        <v>281</v>
      </c>
      <c r="G9" s="46" t="s">
        <v>282</v>
      </c>
      <c r="H9" s="49" t="s">
        <v>272</v>
      </c>
      <c r="I9" s="49" t="s">
        <v>273</v>
      </c>
      <c r="J9" s="49" t="s">
        <v>256</v>
      </c>
      <c r="K9" s="9" t="s">
        <v>283</v>
      </c>
    </row>
    <row r="10" spans="2:11" ht="16.5" customHeight="1" x14ac:dyDescent="0.25">
      <c r="B10" s="44" t="s">
        <v>284</v>
      </c>
      <c r="C10" s="14" t="s">
        <v>285</v>
      </c>
      <c r="D10" s="44" t="s">
        <v>127</v>
      </c>
      <c r="E10" s="40" t="s">
        <v>286</v>
      </c>
      <c r="F10" s="40" t="s">
        <v>119</v>
      </c>
      <c r="G10" s="41" t="s">
        <v>287</v>
      </c>
      <c r="H10" s="44" t="s">
        <v>288</v>
      </c>
      <c r="I10" s="44" t="s">
        <v>289</v>
      </c>
      <c r="J10" s="44" t="s">
        <v>290</v>
      </c>
      <c r="K10" s="14" t="s">
        <v>291</v>
      </c>
    </row>
    <row r="11" spans="2:11" ht="16.5" customHeight="1" x14ac:dyDescent="0.25">
      <c r="B11" s="49" t="s">
        <v>292</v>
      </c>
      <c r="C11" s="9" t="s">
        <v>293</v>
      </c>
      <c r="D11" s="49" t="s">
        <v>127</v>
      </c>
      <c r="E11" s="45" t="s">
        <v>294</v>
      </c>
      <c r="F11" s="45" t="s">
        <v>160</v>
      </c>
      <c r="G11" s="46" t="s">
        <v>120</v>
      </c>
      <c r="H11" s="49" t="s">
        <v>254</v>
      </c>
      <c r="I11" s="49" t="s">
        <v>255</v>
      </c>
      <c r="J11" s="49" t="s">
        <v>256</v>
      </c>
      <c r="K11" s="9" t="s">
        <v>295</v>
      </c>
    </row>
    <row r="12" spans="2:11" ht="16.5" customHeight="1" x14ac:dyDescent="0.25">
      <c r="B12" s="44" t="s">
        <v>296</v>
      </c>
      <c r="C12" s="14" t="s">
        <v>297</v>
      </c>
      <c r="D12" s="44" t="s">
        <v>131</v>
      </c>
      <c r="E12" s="40" t="s">
        <v>298</v>
      </c>
      <c r="F12" s="40" t="s">
        <v>286</v>
      </c>
      <c r="G12" s="41" t="s">
        <v>210</v>
      </c>
      <c r="H12" s="44" t="s">
        <v>254</v>
      </c>
      <c r="I12" s="44" t="s">
        <v>255</v>
      </c>
      <c r="J12" s="44" t="s">
        <v>256</v>
      </c>
      <c r="K12" s="14" t="s">
        <v>299</v>
      </c>
    </row>
    <row r="13" spans="2:11" ht="16.5" customHeight="1" x14ac:dyDescent="0.25">
      <c r="B13" s="49" t="s">
        <v>300</v>
      </c>
      <c r="C13" s="9" t="s">
        <v>301</v>
      </c>
      <c r="D13" s="49" t="s">
        <v>138</v>
      </c>
      <c r="E13" s="45" t="s">
        <v>114</v>
      </c>
      <c r="F13" s="45" t="s">
        <v>302</v>
      </c>
      <c r="G13" s="46" t="s">
        <v>211</v>
      </c>
      <c r="H13" s="49" t="s">
        <v>272</v>
      </c>
      <c r="I13" s="49" t="s">
        <v>273</v>
      </c>
      <c r="J13" s="49" t="s">
        <v>256</v>
      </c>
      <c r="K13" s="9" t="s">
        <v>303</v>
      </c>
    </row>
    <row r="14" spans="2:11" ht="16.5" customHeight="1" x14ac:dyDescent="0.25">
      <c r="B14" s="44" t="s">
        <v>304</v>
      </c>
      <c r="C14" s="14" t="s">
        <v>305</v>
      </c>
      <c r="D14" s="44" t="s">
        <v>133</v>
      </c>
      <c r="E14" s="40" t="s">
        <v>286</v>
      </c>
      <c r="F14" s="40" t="s">
        <v>119</v>
      </c>
      <c r="G14" s="41" t="s">
        <v>306</v>
      </c>
      <c r="H14" s="44" t="s">
        <v>254</v>
      </c>
      <c r="I14" s="44" t="s">
        <v>255</v>
      </c>
      <c r="J14" s="44" t="s">
        <v>256</v>
      </c>
      <c r="K14" s="14" t="s">
        <v>307</v>
      </c>
    </row>
    <row r="15" spans="2:11" ht="16.5" customHeight="1" x14ac:dyDescent="0.25">
      <c r="B15" s="49" t="s">
        <v>308</v>
      </c>
      <c r="C15" s="9" t="s">
        <v>309</v>
      </c>
      <c r="D15" s="49" t="s">
        <v>143</v>
      </c>
      <c r="E15" s="45" t="s">
        <v>218</v>
      </c>
      <c r="F15" s="45" t="s">
        <v>124</v>
      </c>
      <c r="G15" s="46"/>
      <c r="H15" s="49" t="s">
        <v>310</v>
      </c>
      <c r="I15" s="49" t="s">
        <v>311</v>
      </c>
      <c r="J15" s="49" t="s">
        <v>311</v>
      </c>
      <c r="K15" s="9" t="s">
        <v>312</v>
      </c>
    </row>
    <row r="16" spans="2:11" ht="16.5" customHeight="1" x14ac:dyDescent="0.25">
      <c r="B16" s="44" t="s">
        <v>313</v>
      </c>
      <c r="C16" s="14" t="s">
        <v>314</v>
      </c>
      <c r="D16" s="44" t="s">
        <v>151</v>
      </c>
      <c r="E16" s="40" t="s">
        <v>124</v>
      </c>
      <c r="F16" s="40" t="s">
        <v>140</v>
      </c>
      <c r="G16" s="41"/>
      <c r="H16" s="44" t="s">
        <v>310</v>
      </c>
      <c r="I16" s="44" t="s">
        <v>311</v>
      </c>
      <c r="J16" s="44" t="s">
        <v>311</v>
      </c>
      <c r="K16" s="14" t="s">
        <v>312</v>
      </c>
    </row>
    <row r="17" spans="2:11" ht="16.5" customHeight="1" x14ac:dyDescent="0.25">
      <c r="B17" s="49" t="s">
        <v>315</v>
      </c>
      <c r="C17" s="9" t="s">
        <v>316</v>
      </c>
      <c r="D17" s="49" t="s">
        <v>147</v>
      </c>
      <c r="E17" s="45" t="s">
        <v>160</v>
      </c>
      <c r="F17" s="45" t="s">
        <v>317</v>
      </c>
      <c r="G17" s="46"/>
      <c r="H17" s="49" t="s">
        <v>310</v>
      </c>
      <c r="I17" s="49" t="s">
        <v>311</v>
      </c>
      <c r="J17" s="49" t="s">
        <v>311</v>
      </c>
      <c r="K17" s="9" t="s">
        <v>318</v>
      </c>
    </row>
    <row r="18" spans="2:11" ht="16.5" customHeight="1" x14ac:dyDescent="0.25">
      <c r="B18" s="44" t="s">
        <v>319</v>
      </c>
      <c r="C18" s="14" t="s">
        <v>320</v>
      </c>
      <c r="D18" s="44" t="s">
        <v>162</v>
      </c>
      <c r="E18" s="40" t="s">
        <v>160</v>
      </c>
      <c r="F18" s="40" t="s">
        <v>317</v>
      </c>
      <c r="G18" s="41"/>
      <c r="H18" s="44" t="s">
        <v>321</v>
      </c>
      <c r="I18" s="44" t="s">
        <v>311</v>
      </c>
      <c r="J18" s="44" t="s">
        <v>311</v>
      </c>
      <c r="K18" s="14" t="s">
        <v>322</v>
      </c>
    </row>
  </sheetData>
  <mergeCells count="1">
    <mergeCell ref="B1:J1"/>
  </mergeCells>
  <conditionalFormatting sqref="H4:H18">
    <cfRule type="cellIs" dxfId="3" priority="2" operator="equal">
      <formula>"Approved"</formula>
    </cfRule>
    <cfRule type="cellIs" dxfId="2" priority="3" operator="equal">
      <formula>"Overdue"</formula>
    </cfRule>
    <cfRule type="cellIs" dxfId="1" priority="4" operator="equal">
      <formula>"Pending"</formula>
    </cfRule>
    <cfRule type="cellIs" dxfId="0" priority="5" operator="equal">
      <formula>"Revise &amp; Resubmit"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1:K17"/>
  <sheetViews>
    <sheetView showGridLines="0" tabSelected="1" zoomScaleNormal="100" workbookViewId="0">
      <selection activeCell="D22" sqref="D22"/>
    </sheetView>
  </sheetViews>
  <sheetFormatPr defaultColWidth="8.7109375" defaultRowHeight="15" x14ac:dyDescent="0.25"/>
  <cols>
    <col min="1" max="1" width="3" customWidth="1"/>
    <col min="2" max="5" width="16" customWidth="1"/>
    <col min="6" max="6" width="14.140625" customWidth="1"/>
  </cols>
  <sheetData>
    <row r="1" spans="2:11" ht="39.75" customHeight="1" x14ac:dyDescent="0.25">
      <c r="B1" s="1" t="s">
        <v>323</v>
      </c>
      <c r="C1" s="1"/>
      <c r="D1" s="1"/>
      <c r="E1" s="1"/>
      <c r="F1" s="1"/>
      <c r="G1" s="1"/>
      <c r="H1" s="1"/>
      <c r="I1" s="1"/>
      <c r="J1" s="1"/>
      <c r="K1" s="1"/>
    </row>
    <row r="3" spans="2:11" ht="53.25" customHeight="1" x14ac:dyDescent="0.25">
      <c r="B3" s="30" t="s">
        <v>324</v>
      </c>
      <c r="C3" s="30" t="s">
        <v>325</v>
      </c>
      <c r="D3" s="30" t="s">
        <v>326</v>
      </c>
      <c r="E3" s="30" t="s">
        <v>327</v>
      </c>
      <c r="F3" s="30" t="s">
        <v>328</v>
      </c>
    </row>
    <row r="4" spans="2:11" ht="16.5" customHeight="1" x14ac:dyDescent="0.25">
      <c r="B4" s="44" t="s">
        <v>329</v>
      </c>
      <c r="C4" s="15">
        <v>85000</v>
      </c>
      <c r="D4" s="15">
        <v>82000</v>
      </c>
      <c r="E4" s="16">
        <f>C4</f>
        <v>85000</v>
      </c>
      <c r="F4" s="16">
        <f>D4</f>
        <v>82000</v>
      </c>
    </row>
    <row r="5" spans="2:11" ht="16.5" customHeight="1" x14ac:dyDescent="0.25">
      <c r="B5" s="49" t="s">
        <v>330</v>
      </c>
      <c r="C5" s="20">
        <v>110000</v>
      </c>
      <c r="D5" s="20">
        <v>108000</v>
      </c>
      <c r="E5" s="21">
        <f t="shared" ref="E5:F11" si="0">E4+C5</f>
        <v>195000</v>
      </c>
      <c r="F5" s="21">
        <f t="shared" si="0"/>
        <v>190000</v>
      </c>
    </row>
    <row r="6" spans="2:11" ht="16.5" customHeight="1" x14ac:dyDescent="0.25">
      <c r="B6" s="44" t="s">
        <v>331</v>
      </c>
      <c r="C6" s="15">
        <v>145000</v>
      </c>
      <c r="D6" s="15">
        <v>143000</v>
      </c>
      <c r="E6" s="16">
        <f t="shared" si="0"/>
        <v>340000</v>
      </c>
      <c r="F6" s="16">
        <f t="shared" si="0"/>
        <v>333000</v>
      </c>
    </row>
    <row r="7" spans="2:11" ht="16.5" customHeight="1" x14ac:dyDescent="0.25">
      <c r="B7" s="49" t="s">
        <v>332</v>
      </c>
      <c r="C7" s="20">
        <v>165000</v>
      </c>
      <c r="D7" s="20">
        <v>161000</v>
      </c>
      <c r="E7" s="21">
        <f t="shared" si="0"/>
        <v>505000</v>
      </c>
      <c r="F7" s="21">
        <f t="shared" si="0"/>
        <v>494000</v>
      </c>
    </row>
    <row r="8" spans="2:11" ht="16.5" customHeight="1" x14ac:dyDescent="0.25">
      <c r="B8" s="44" t="s">
        <v>333</v>
      </c>
      <c r="C8" s="15">
        <v>210000</v>
      </c>
      <c r="D8" s="15">
        <v>198000</v>
      </c>
      <c r="E8" s="16">
        <f t="shared" si="0"/>
        <v>715000</v>
      </c>
      <c r="F8" s="16">
        <f t="shared" si="0"/>
        <v>692000</v>
      </c>
    </row>
    <row r="9" spans="2:11" ht="16.5" customHeight="1" x14ac:dyDescent="0.25">
      <c r="B9" s="49" t="s">
        <v>334</v>
      </c>
      <c r="C9" s="20">
        <v>230000</v>
      </c>
      <c r="D9" s="20">
        <v>218000</v>
      </c>
      <c r="E9" s="21">
        <f t="shared" si="0"/>
        <v>945000</v>
      </c>
      <c r="F9" s="21">
        <f t="shared" si="0"/>
        <v>910000</v>
      </c>
    </row>
    <row r="10" spans="2:11" ht="16.5" customHeight="1" x14ac:dyDescent="0.25">
      <c r="B10" s="44" t="s">
        <v>335</v>
      </c>
      <c r="C10" s="15">
        <v>245000</v>
      </c>
      <c r="D10" s="15">
        <v>228000</v>
      </c>
      <c r="E10" s="16">
        <f t="shared" si="0"/>
        <v>1190000</v>
      </c>
      <c r="F10" s="16">
        <f t="shared" si="0"/>
        <v>1138000</v>
      </c>
    </row>
    <row r="11" spans="2:11" ht="16.5" customHeight="1" x14ac:dyDescent="0.25">
      <c r="B11" s="49" t="s">
        <v>336</v>
      </c>
      <c r="C11" s="20">
        <v>260000</v>
      </c>
      <c r="D11" s="20">
        <v>235000</v>
      </c>
      <c r="E11" s="21">
        <f t="shared" si="0"/>
        <v>1450000</v>
      </c>
      <c r="F11" s="21">
        <f t="shared" si="0"/>
        <v>1373000</v>
      </c>
    </row>
    <row r="12" spans="2:11" ht="16.5" customHeight="1" x14ac:dyDescent="0.25">
      <c r="B12" s="44" t="s">
        <v>337</v>
      </c>
      <c r="C12" s="15">
        <v>255000</v>
      </c>
      <c r="D12" s="15"/>
      <c r="E12" s="16">
        <f t="shared" ref="E12:E17" si="1">E11+C12</f>
        <v>1705000</v>
      </c>
      <c r="F12" s="16"/>
    </row>
    <row r="13" spans="2:11" ht="16.5" customHeight="1" x14ac:dyDescent="0.25">
      <c r="B13" s="49" t="s">
        <v>338</v>
      </c>
      <c r="C13" s="20">
        <v>240000</v>
      </c>
      <c r="D13" s="20"/>
      <c r="E13" s="21">
        <f t="shared" si="1"/>
        <v>1945000</v>
      </c>
      <c r="F13" s="21"/>
    </row>
    <row r="14" spans="2:11" ht="16.5" customHeight="1" x14ac:dyDescent="0.25">
      <c r="B14" s="44" t="s">
        <v>339</v>
      </c>
      <c r="C14" s="15">
        <v>205000</v>
      </c>
      <c r="D14" s="15"/>
      <c r="E14" s="16">
        <f t="shared" si="1"/>
        <v>2150000</v>
      </c>
      <c r="F14" s="16"/>
    </row>
    <row r="15" spans="2:11" ht="16.5" customHeight="1" x14ac:dyDescent="0.25">
      <c r="B15" s="49" t="s">
        <v>340</v>
      </c>
      <c r="C15" s="20">
        <v>150000</v>
      </c>
      <c r="D15" s="20"/>
      <c r="E15" s="21">
        <f t="shared" si="1"/>
        <v>2300000</v>
      </c>
      <c r="F15" s="21"/>
    </row>
    <row r="16" spans="2:11" ht="16.5" customHeight="1" x14ac:dyDescent="0.25">
      <c r="B16" s="44" t="s">
        <v>341</v>
      </c>
      <c r="C16" s="15">
        <v>75000</v>
      </c>
      <c r="D16" s="15"/>
      <c r="E16" s="16">
        <f t="shared" si="1"/>
        <v>2375000</v>
      </c>
      <c r="F16" s="16"/>
    </row>
    <row r="17" spans="2:6" ht="16.5" customHeight="1" x14ac:dyDescent="0.25">
      <c r="B17" s="49" t="s">
        <v>342</v>
      </c>
      <c r="C17" s="20">
        <v>45000</v>
      </c>
      <c r="D17" s="20"/>
      <c r="E17" s="21">
        <f t="shared" si="1"/>
        <v>2420000</v>
      </c>
      <c r="F17" s="21"/>
    </row>
  </sheetData>
  <mergeCells count="1">
    <mergeCell ref="B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Cost Tracker</vt:lpstr>
      <vt:lpstr>Schedule</vt:lpstr>
      <vt:lpstr>RFI Log</vt:lpstr>
      <vt:lpstr>Submittal Register</vt:lpstr>
      <vt:lpstr>S-Curve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Ravi, Suhas</cp:lastModifiedBy>
  <cp:revision>2</cp:revision>
  <dcterms:created xsi:type="dcterms:W3CDTF">2026-03-23T19:04:54Z</dcterms:created>
  <dcterms:modified xsi:type="dcterms:W3CDTF">2026-03-23T20:18:33Z</dcterms:modified>
  <dc:language>en-US</dc:language>
</cp:coreProperties>
</file>